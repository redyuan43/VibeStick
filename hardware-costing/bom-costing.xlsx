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StickS3" sheetId="2" state="visible" r:id="rId4"/>
    <sheet name="M5StickC-Plus" sheetId="3" state="visible" r:id="rId5"/>
    <sheet name="Unresolved-RFQ" sheetId="4" state="visible" r:id="rId6"/>
    <sheet name="Source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<sst xmlns="http://schemas.openxmlformats.org/spreadsheetml/2006/main" count="963" uniqueCount="350">
  <si>
    <t xml:space="preserve">Assumption</t>
  </si>
  <si>
    <t xml:space="preserve">Value</t>
  </si>
  <si>
    <t xml:space="preserve">Unit</t>
  </si>
  <si>
    <t xml:space="preserve">Source / Notes</t>
  </si>
  <si>
    <t xml:space="preserve">Costing date</t>
  </si>
  <si>
    <t xml:space="preserve">2026-07-05</t>
  </si>
  <si>
    <t xml:space="preserve">date</t>
  </si>
  <si>
    <t xml:space="preserve">Workbook generated from downloaded official references and current public web price snippets.</t>
  </si>
  <si>
    <t xml:space="preserve">Production quantity</t>
  </si>
  <si>
    <t xml:space="preserve">units</t>
  </si>
  <si>
    <r>
      <rPr>
        <sz val="10"/>
        <rFont val="Arial"/>
        <family val="0"/>
        <charset val="1"/>
      </rPr>
      <t xml:space="preserve">User selected 1</t>
    </r>
    <r>
      <rPr>
        <sz val="10"/>
        <rFont val="Noto Sans CJK SC"/>
        <family val="2"/>
      </rPr>
      <t xml:space="preserve">万台量产</t>
    </r>
    <r>
      <rPr>
        <sz val="10"/>
        <rFont val="Arial"/>
        <family val="0"/>
        <charset val="1"/>
      </rPr>
      <t xml:space="preserve">.</t>
    </r>
  </si>
  <si>
    <t xml:space="preserve">FX USD to CNY</t>
  </si>
  <si>
    <t xml:space="preserve">CNY/USD</t>
  </si>
  <si>
    <t xml:space="preserve">Editable input. Public LCSC/JLCPCB snippets are USD; domestic quote sheet should replace with CNY RFQ where possible.</t>
  </si>
  <si>
    <t xml:space="preserve">Yield / scrap adder</t>
  </si>
  <si>
    <t xml:space="preserve">%</t>
  </si>
  <si>
    <t xml:space="preserve">Editable input applied in Summary after subtotal.</t>
  </si>
  <si>
    <t xml:space="preserve">Pricing precision target</t>
  </si>
  <si>
    <t xml:space="preserve">Decision estimate</t>
  </si>
  <si>
    <t xml:space="preserve">text</t>
  </si>
  <si>
    <t xml:space="preserve">Not production PO-ready until all RFQ/low-confidence rows are replaced by supplier quotes.</t>
  </si>
  <si>
    <t xml:space="preserve">Line</t>
  </si>
  <si>
    <t xml:space="preserve">Category</t>
  </si>
  <si>
    <t xml:space="preserve">RefDes / Group</t>
  </si>
  <si>
    <t xml:space="preserve">QtyPerUnit</t>
  </si>
  <si>
    <t xml:space="preserve">Part / MPN</t>
  </si>
  <si>
    <t xml:space="preserve">Spec</t>
  </si>
  <si>
    <t xml:space="preserve">Package</t>
  </si>
  <si>
    <t xml:space="preserve">Supplier / Source</t>
  </si>
  <si>
    <t xml:space="preserve">MOQ</t>
  </si>
  <si>
    <t xml:space="preserve">UnitPriceNative</t>
  </si>
  <si>
    <t xml:space="preserve">Currency</t>
  </si>
  <si>
    <t xml:space="preserve">FX_to_CNY</t>
  </si>
  <si>
    <t xml:space="preserve">UnitPriceCNY</t>
  </si>
  <si>
    <t xml:space="preserve">ExtCNYPerUnit</t>
  </si>
  <si>
    <t xml:space="preserve">TotalCNY@10k</t>
  </si>
  <si>
    <t xml:space="preserve">SourceURL</t>
  </si>
  <si>
    <t xml:space="preserve">Confidence</t>
  </si>
  <si>
    <t xml:space="preserve">PricingStatus</t>
  </si>
  <si>
    <t xml:space="preserve">Notes</t>
  </si>
  <si>
    <t xml:space="preserve">S3-001</t>
  </si>
  <si>
    <t xml:space="preserve">Main controller</t>
  </si>
  <si>
    <t xml:space="preserve">U2</t>
  </si>
  <si>
    <t xml:space="preserve">ESP32-S3-PICO-1-N8R8</t>
  </si>
  <si>
    <t xml:space="preserve">ESP32-S3 SiP, 8MB Flash + 8MB PSRAM, Wi-Fi/BLE</t>
  </si>
  <si>
    <t xml:space="preserve">LGA56 7x7</t>
  </si>
  <si>
    <t xml:space="preserve">RFQ / Espressif channel</t>
  </si>
  <si>
    <t xml:space="preserve">USD</t>
  </si>
  <si>
    <t xml:space="preserve">https://documentation.espressif.com/esp32-s3-pico-1_datasheet_en.pdf</t>
  </si>
  <si>
    <t xml:space="preserve">low</t>
  </si>
  <si>
    <t xml:space="preserve">RFQ estimate</t>
  </si>
  <si>
    <t xml:space="preserve">JLCPCB page found but showed unavailable and implausible placeholder pricing; use authorized distributor/RFQ before committing.</t>
  </si>
  <si>
    <t xml:space="preserve">S3-002</t>
  </si>
  <si>
    <t xml:space="preserve">Display</t>
  </si>
  <si>
    <t xml:space="preserve">LCD module</t>
  </si>
  <si>
    <t xml:space="preserve">1.14 inch 135x240 ST7789 TFT</t>
  </si>
  <si>
    <t xml:space="preserve">IPS TFT, SPI, 135x240, ST7789-compatible</t>
  </si>
  <si>
    <t xml:space="preserve">Custom FPC module</t>
  </si>
  <si>
    <t xml:space="preserve">Made-in-China comparable quote</t>
  </si>
  <si>
    <t xml:space="preserve">https://m.made-in-china.com/product/1-14-Inch-135X240-Spi-Interface-St7789-Driver-Color-Display-TFT-Screen-HD-IPS-LCD-Module-2052472795.html</t>
  </si>
  <si>
    <t xml:space="preserve">medium</t>
  </si>
  <si>
    <t xml:space="preserve">Public comparable</t>
  </si>
  <si>
    <t xml:space="preserve">Comparable 10k+ quote, not exact M5Stack LCD supplier.</t>
  </si>
  <si>
    <t xml:space="preserve">S3-003</t>
  </si>
  <si>
    <t xml:space="preserve">Audio codec</t>
  </si>
  <si>
    <t xml:space="preserve">ES8311</t>
  </si>
  <si>
    <t xml:space="preserve">Low-power mono audio codec</t>
  </si>
  <si>
    <t xml:space="preserve">QFN-20-EP 3x3</t>
  </si>
  <si>
    <t xml:space="preserve">LCSC / JLCPCB C962342</t>
  </si>
  <si>
    <t xml:space="preserve">https://www.lcsc.com/product-detail/Signal-Switches-Encoders-Decoders-Multiplexers_Everest-semi-Everest-Semiconductor-ES8311_C962342.html</t>
  </si>
  <si>
    <t xml:space="preserve">high</t>
  </si>
  <si>
    <t xml:space="preserve">Public price</t>
  </si>
  <si>
    <t xml:space="preserve">LCSC snippet price from $0.2741; verify 10k quote.</t>
  </si>
  <si>
    <t xml:space="preserve">S3-004</t>
  </si>
  <si>
    <t xml:space="preserve">Microphone</t>
  </si>
  <si>
    <t xml:space="preserve">MIC</t>
  </si>
  <si>
    <t xml:space="preserve">MEMS microphone equivalent</t>
  </si>
  <si>
    <t xml:space="preserve">SNR 65 dB per official StickS3 spec</t>
  </si>
  <si>
    <t xml:space="preserve">MEMS</t>
  </si>
  <si>
    <t xml:space="preserve">RFQ</t>
  </si>
  <si>
    <t xml:space="preserve">CNY</t>
  </si>
  <si>
    <t xml:space="preserve">hardware-reference-downloads/StickS3/official-product-page.pdf</t>
  </si>
  <si>
    <t xml:space="preserve">Official page gives SNR but not microphone MPN.</t>
  </si>
  <si>
    <t xml:space="preserve">S3-005</t>
  </si>
  <si>
    <t xml:space="preserve">Speaker amplifier</t>
  </si>
  <si>
    <t xml:space="preserve">U19</t>
  </si>
  <si>
    <t xml:space="preserve">AW8737SCSR / AW8737 family</t>
  </si>
  <si>
    <t xml:space="preserve">Class-K audio amplifier</t>
  </si>
  <si>
    <t xml:space="preserve">CSP-14 / FCQFN variant</t>
  </si>
  <si>
    <t xml:space="preserve">LCSC comparable</t>
  </si>
  <si>
    <t xml:space="preserve">https://www.lcsc.com/product-detail/C252446.html</t>
  </si>
  <si>
    <t xml:space="preserve">Schematic label AW8737; exact suffix/package should be confirmed from PCB/BOM.</t>
  </si>
  <si>
    <t xml:space="preserve">S3-006</t>
  </si>
  <si>
    <t xml:space="preserve">Speaker</t>
  </si>
  <si>
    <t xml:space="preserve">SPK</t>
  </si>
  <si>
    <t xml:space="preserve">2011 cavity speaker</t>
  </si>
  <si>
    <t xml:space="preserve">8 ohm, 1 W</t>
  </si>
  <si>
    <t xml:space="preserve">2011 speaker</t>
  </si>
  <si>
    <t xml:space="preserve">Domestic RFQ</t>
  </si>
  <si>
    <t xml:space="preserve">Exact acoustic supplier not public.</t>
  </si>
  <si>
    <t xml:space="preserve">S3-007</t>
  </si>
  <si>
    <t xml:space="preserve">IMU</t>
  </si>
  <si>
    <t xml:space="preserve">BMI270</t>
  </si>
  <si>
    <t xml:space="preserve">6-axis IMU, I2C 0x68</t>
  </si>
  <si>
    <t xml:space="preserve">LGA-14</t>
  </si>
  <si>
    <t xml:space="preserve">LCSC C2836813</t>
  </si>
  <si>
    <t xml:space="preserve">https://www.lcsc.com/product-detail/C2836813.html</t>
  </si>
  <si>
    <t xml:space="preserve">LCSC 1000+ price shown; 10k should be quoted.</t>
  </si>
  <si>
    <t xml:space="preserve">S3-008</t>
  </si>
  <si>
    <t xml:space="preserve">PMIC</t>
  </si>
  <si>
    <t xml:space="preserve">PMIC / PY32L020F15U6</t>
  </si>
  <si>
    <t xml:space="preserve">M5PM1 / PY32L020F15U6</t>
  </si>
  <si>
    <t xml:space="preserve">M5Stack PMIC and power sequencer</t>
  </si>
  <si>
    <t xml:space="preserve">MCU/PMIC custom</t>
  </si>
  <si>
    <t xml:space="preserve">M5Stack / RFQ</t>
  </si>
  <si>
    <t xml:space="preserve">hardware-reference-downloads/StickS3/datasheet-M5PM1.pdf</t>
  </si>
  <si>
    <t xml:space="preserve">M5PM1 appears M5Stack-specific; exact sourcing requires RFQ.</t>
  </si>
  <si>
    <t xml:space="preserve">S3-009</t>
  </si>
  <si>
    <t xml:space="preserve">Battery</t>
  </si>
  <si>
    <t xml:space="preserve">BAT</t>
  </si>
  <si>
    <t xml:space="preserve">LiPo 250mAh pack</t>
  </si>
  <si>
    <t xml:space="preserve">3.7V 250mAh with protection/lead</t>
  </si>
  <si>
    <t xml:space="preserve">Pouch cell pack</t>
  </si>
  <si>
    <t xml:space="preserve">Alibaba/Made-in-China comparable</t>
  </si>
  <si>
    <t xml:space="preserve">https://www.alibaba.com/product-detail/Small-lipo-602025-3-7V-250mAh_1600827095715.html</t>
  </si>
  <si>
    <t xml:space="preserve">Connector/protection/UN38.3 requirements can materially change price.</t>
  </si>
  <si>
    <t xml:space="preserve">S3-010</t>
  </si>
  <si>
    <t xml:space="preserve">USB / connectors</t>
  </si>
  <si>
    <t xml:space="preserve">USBC</t>
  </si>
  <si>
    <t xml:space="preserve">USB Type-C receptacle</t>
  </si>
  <si>
    <t xml:space="preserve">Power/programming connector</t>
  </si>
  <si>
    <t xml:space="preserve">SMD Type-C</t>
  </si>
  <si>
    <t xml:space="preserve">hardware-reference-downloads/StickS3/schematic-K150_Stick_S3_PRJ_V0.6.pdf</t>
  </si>
  <si>
    <t xml:space="preserve">Estimate</t>
  </si>
  <si>
    <t xml:space="preserve">Exact connector MPN not extracted from public schematic text.</t>
  </si>
  <si>
    <t xml:space="preserve">S3-011</t>
  </si>
  <si>
    <t xml:space="preserve">Buttons</t>
  </si>
  <si>
    <t xml:space="preserve">KEY1, KEY2, PWR</t>
  </si>
  <si>
    <t xml:space="preserve">Tact switch / side buttons</t>
  </si>
  <si>
    <t xml:space="preserve">Programmable buttons and power key</t>
  </si>
  <si>
    <t xml:space="preserve">SMD tact</t>
  </si>
  <si>
    <t xml:space="preserve">Qty from official functions and schematic overview.</t>
  </si>
  <si>
    <t xml:space="preserve">S3-012</t>
  </si>
  <si>
    <t xml:space="preserve">IR</t>
  </si>
  <si>
    <t xml:space="preserve">IR_TX, IR_RX</t>
  </si>
  <si>
    <t xml:space="preserve">IR LED / IR receiver</t>
  </si>
  <si>
    <t xml:space="preserve">Infrared transmit and receive</t>
  </si>
  <si>
    <t xml:space="preserve">SMD</t>
  </si>
  <si>
    <t xml:space="preserve">Not used by VibeStick firmware but present on stock design.</t>
  </si>
  <si>
    <t xml:space="preserve">S3-013</t>
  </si>
  <si>
    <t xml:space="preserve">Expansion</t>
  </si>
  <si>
    <t xml:space="preserve">GROVE + HAT2</t>
  </si>
  <si>
    <t xml:space="preserve">Grove HY2.0-4P + Hat2 header</t>
  </si>
  <si>
    <t xml:space="preserve">Expansion connectors</t>
  </si>
  <si>
    <t xml:space="preserve">Connector set</t>
  </si>
  <si>
    <t xml:space="preserve">Include if matching stock M5Stack ecosystem compatibility.</t>
  </si>
  <si>
    <t xml:space="preserve">S3-014</t>
  </si>
  <si>
    <t xml:space="preserve">Power/protection/discrete ICs</t>
  </si>
  <si>
    <t xml:space="preserve">U1/U3/U4/U5/U7/U8/U9/U12/U13/U15 + Q/D/L</t>
  </si>
  <si>
    <t xml:space="preserve">Power tree group</t>
  </si>
  <si>
    <t xml:space="preserve">LDOs, boost, DCDC, charge, protection, MOSFETs, diodes, inductors</t>
  </si>
  <si>
    <t xml:space="preserve">Mixed</t>
  </si>
  <si>
    <t xml:space="preserve">Grouped estimate</t>
  </si>
  <si>
    <t xml:space="preserve">Grouped because public schematic lacks a clean production BOM export.</t>
  </si>
  <si>
    <t xml:space="preserve">S3-015</t>
  </si>
  <si>
    <t xml:space="preserve">Passives</t>
  </si>
  <si>
    <t xml:space="preserve">R/C small passives</t>
  </si>
  <si>
    <t xml:space="preserve">Resistor/capacitor/passive group</t>
  </si>
  <si>
    <t xml:space="preserve">Decoupling, dividers, filters, pullups</t>
  </si>
  <si>
    <t xml:space="preserve">0201/0402/0603 mixed</t>
  </si>
  <si>
    <t xml:space="preserve">JLCPCB/common domestic</t>
  </si>
  <si>
    <t xml:space="preserve">Should be replaced by exact refdes count from Altium BOM when available.</t>
  </si>
  <si>
    <t xml:space="preserve">S3-016</t>
  </si>
  <si>
    <t xml:space="preserve">RF / antenna</t>
  </si>
  <si>
    <t xml:space="preserve">ANT/RF path</t>
  </si>
  <si>
    <t xml:space="preserve">2.4GHz antenna and RF passives</t>
  </si>
  <si>
    <t xml:space="preserve">Integrated antenna/FPC and RF matching</t>
  </si>
  <si>
    <t xml:space="preserve">Custom</t>
  </si>
  <si>
    <t xml:space="preserve">Antenna is assembly-specific.</t>
  </si>
  <si>
    <t xml:space="preserve">S3-017</t>
  </si>
  <si>
    <t xml:space="preserve">PCB</t>
  </si>
  <si>
    <t xml:space="preserve">Custom PCB</t>
  </si>
  <si>
    <t xml:space="preserve">Likely 4-layer small PCB, ENIG assumption</t>
  </si>
  <si>
    <t xml:space="preserve">PCB fab</t>
  </si>
  <si>
    <t xml:space="preserve">JLCPCB/domestic RFQ</t>
  </si>
  <si>
    <t xml:space="preserve">Needs Gerber stackup, panelization, copper, finish, test requirements.</t>
  </si>
  <si>
    <t xml:space="preserve">S3-018</t>
  </si>
  <si>
    <t xml:space="preserve">Assembly/test</t>
  </si>
  <si>
    <t xml:space="preserve">SMT + assembly + programming</t>
  </si>
  <si>
    <t xml:space="preserve">PCBA and final test</t>
  </si>
  <si>
    <t xml:space="preserve">SMT, speaker/battery/display attachment, programming, test</t>
  </si>
  <si>
    <t xml:space="preserve">Service</t>
  </si>
  <si>
    <t xml:space="preserve">Domestic EMS RFQ</t>
  </si>
  <si>
    <t xml:space="preserve">Labor/test fixture amortization not finalized.</t>
  </si>
  <si>
    <t xml:space="preserve">S3-019</t>
  </si>
  <si>
    <t xml:space="preserve">Mechanical</t>
  </si>
  <si>
    <t xml:space="preserve">Shell/magnet/window/lightpipe</t>
  </si>
  <si>
    <t xml:space="preserve">Enclosure assembly</t>
  </si>
  <si>
    <t xml:space="preserve">Plastic shell, magnetic back, window, labels</t>
  </si>
  <si>
    <t xml:space="preserve">Custom tooling</t>
  </si>
  <si>
    <t xml:space="preserve">hardware-reference-downloads/StickS3/model-size-K150-sticks3.pdf</t>
  </si>
  <si>
    <t xml:space="preserve">Tooling amortization not included unless added separately.</t>
  </si>
  <si>
    <t xml:space="preserve">S3-020</t>
  </si>
  <si>
    <t xml:space="preserve">Packaging</t>
  </si>
  <si>
    <t xml:space="preserve">Retail/basic packaging</t>
  </si>
  <si>
    <t xml:space="preserve">Packaging set</t>
  </si>
  <si>
    <t xml:space="preserve">Box/bag/manual/label</t>
  </si>
  <si>
    <t xml:space="preserve">Adjust to actual packaging standard.</t>
  </si>
  <si>
    <t xml:space="preserve">CPLUS-001</t>
  </si>
  <si>
    <t xml:space="preserve">U7 / ESP32</t>
  </si>
  <si>
    <t xml:space="preserve">ESP32-PICO-D4</t>
  </si>
  <si>
    <t xml:space="preserve">ESP32 SiP, Wi-Fi/BLE, integrated 4MB Flash</t>
  </si>
  <si>
    <t xml:space="preserve">LGA 7x7</t>
  </si>
  <si>
    <t xml:space="preserve">LCSC C193707</t>
  </si>
  <si>
    <t xml:space="preserve">https://www.lcsc.com/product-detail/C193707.html</t>
  </si>
  <si>
    <t xml:space="preserve">LCSC snippet price from $2.8935; verify 10k quote.</t>
  </si>
  <si>
    <t xml:space="preserve">CPLUS-002</t>
  </si>
  <si>
    <t xml:space="preserve">LCD</t>
  </si>
  <si>
    <t xml:space="preserve">CPLUS-003</t>
  </si>
  <si>
    <t xml:space="preserve">SPM1423HM4H-B / SPM1423HM4H.B</t>
  </si>
  <si>
    <t xml:space="preserve">Digital PDM MEMS microphone</t>
  </si>
  <si>
    <t xml:space="preserve">MEMS LGA</t>
  </si>
  <si>
    <t xml:space="preserve">JLCPCB C19730130</t>
  </si>
  <si>
    <t xml:space="preserve">https://jlcpcb.com/partdetail/Knowles-SPM1423HM4HB/C19730130</t>
  </si>
  <si>
    <t xml:space="preserve">JLCPCB estimated unit price; part may be EOL/availability-sensitive.</t>
  </si>
  <si>
    <t xml:space="preserve">CPLUS-004</t>
  </si>
  <si>
    <t xml:space="preserve">Speaker / buzzer</t>
  </si>
  <si>
    <t xml:space="preserve">BUZZER / SPK</t>
  </si>
  <si>
    <t xml:space="preserve">Passive buzzer</t>
  </si>
  <si>
    <t xml:space="preserve">GPIO2 tone output</t>
  </si>
  <si>
    <t xml:space="preserve">SMD buzzer</t>
  </si>
  <si>
    <t xml:space="preserve">hardware-reference-downloads/M5StickC-Plus/official-product-page.pdf</t>
  </si>
  <si>
    <t xml:space="preserve">Exact buzzer MPN not public.</t>
  </si>
  <si>
    <t xml:space="preserve">CPLUS-005</t>
  </si>
  <si>
    <t xml:space="preserve">MPU6886</t>
  </si>
  <si>
    <t xml:space="preserve">QFN</t>
  </si>
  <si>
    <t xml:space="preserve">RFQ / comparable</t>
  </si>
  <si>
    <t xml:space="preserve">hardware-reference-downloads/M5StickC-Plus/datasheet-MPU6886.pdf</t>
  </si>
  <si>
    <t xml:space="preserve">Public chip pricing not readily available; M5Stack module price is not chip price.</t>
  </si>
  <si>
    <t xml:space="preserve">CPLUS-006</t>
  </si>
  <si>
    <t xml:space="preserve">RTC</t>
  </si>
  <si>
    <t xml:space="preserve">BM8563</t>
  </si>
  <si>
    <t xml:space="preserve">BM8563ESA / BM8563EMA</t>
  </si>
  <si>
    <t xml:space="preserve">I2C RTC</t>
  </si>
  <si>
    <t xml:space="preserve">SOP/MSOP-8</t>
  </si>
  <si>
    <t xml:space="preserve">LCSC C269877/C269878</t>
  </si>
  <si>
    <t xml:space="preserve">https://www.lcsc.com/product-detail/C269877.html</t>
  </si>
  <si>
    <t xml:space="preserve">LCSC 1000+ price shown.</t>
  </si>
  <si>
    <t xml:space="preserve">CPLUS-007</t>
  </si>
  <si>
    <t xml:space="preserve">AXP192</t>
  </si>
  <si>
    <t xml:space="preserve">Power management and battery charging</t>
  </si>
  <si>
    <t xml:space="preserve">hardware-reference-downloads/M5StickC-Plus/datasheet-AXP192.pdf</t>
  </si>
  <si>
    <t xml:space="preserve">AXP192 public current pricing not found in quick search; verify supply continuity.</t>
  </si>
  <si>
    <t xml:space="preserve">CPLUS-008</t>
  </si>
  <si>
    <t xml:space="preserve">LiPo 120mAh pack</t>
  </si>
  <si>
    <t xml:space="preserve">3.7V 120mAh with protection/lead</t>
  </si>
  <si>
    <t xml:space="preserve">Made-in-China comparable/RFQ</t>
  </si>
  <si>
    <t xml:space="preserve">https://m.made-in-china.com/product/Pouch-Cells-302030-Lithium-Ion-Polymer-Battery-3-7V-120mAh-for-Digital-Products-883443725.html</t>
  </si>
  <si>
    <t xml:space="preserve">Connector/protection/certification needs confirmation.</t>
  </si>
  <si>
    <t xml:space="preserve">CPLUS-009</t>
  </si>
  <si>
    <t xml:space="preserve">USB / serial</t>
  </si>
  <si>
    <t xml:space="preserve">USB-C + serial bridge</t>
  </si>
  <si>
    <t xml:space="preserve">USB-C and FTDI-class bridge path</t>
  </si>
  <si>
    <t xml:space="preserve">Power/programming connector and USB-UART path</t>
  </si>
  <si>
    <t xml:space="preserve">Connector + IC</t>
  </si>
  <si>
    <t xml:space="preserve">Docs mention FTDI driver; exact bridge chip must be confirmed from schematic/PCB.</t>
  </si>
  <si>
    <t xml:space="preserve">CPLUS-010</t>
  </si>
  <si>
    <t xml:space="preserve">BtnA, BtnB, PWR</t>
  </si>
  <si>
    <t xml:space="preserve">Button A, Button B, power key</t>
  </si>
  <si>
    <t xml:space="preserve">hardware-reference-downloads/M5StickC-Plus/schematic-k016-p-StickC-Plus.pdf</t>
  </si>
  <si>
    <t xml:space="preserve">Qty from official docs and schematic.</t>
  </si>
  <si>
    <t xml:space="preserve">CPLUS-011</t>
  </si>
  <si>
    <t xml:space="preserve">LED / IR</t>
  </si>
  <si>
    <t xml:space="preserve">RED LED + IR TX</t>
  </si>
  <si>
    <t xml:space="preserve">Indicator LED and IR transmitter</t>
  </si>
  <si>
    <t xml:space="preserve">GPIO10 LED, GPIO9 IR</t>
  </si>
  <si>
    <t xml:space="preserve">CPLUS-012</t>
  </si>
  <si>
    <t xml:space="preserve">HY2.0-4P Grove</t>
  </si>
  <si>
    <t xml:space="preserve">Grove connector</t>
  </si>
  <si>
    <t xml:space="preserve">GND/5V/GPIO32/GPIO33</t>
  </si>
  <si>
    <t xml:space="preserve">Connector</t>
  </si>
  <si>
    <t xml:space="preserve">Include if matching stock M5Stack compatibility.</t>
  </si>
  <si>
    <t xml:space="preserve">CPLUS-013</t>
  </si>
  <si>
    <t xml:space="preserve">Passives / power discretes</t>
  </si>
  <si>
    <t xml:space="preserve">R/C/L/Q/D group</t>
  </si>
  <si>
    <t xml:space="preserve">Passive and discrete group</t>
  </si>
  <si>
    <t xml:space="preserve">Inductors, capacitors, resistors, MOSFETs, protection parts</t>
  </si>
  <si>
    <t xml:space="preserve">CPLUS-014</t>
  </si>
  <si>
    <t xml:space="preserve">Integrated 3D antenna and RF matching</t>
  </si>
  <si>
    <t xml:space="preserve">CPLUS-015</t>
  </si>
  <si>
    <t xml:space="preserve">CPLUS-016</t>
  </si>
  <si>
    <t xml:space="preserve">SMT, battery/display attachment, programming, test</t>
  </si>
  <si>
    <t xml:space="preserve">CPLUS-017</t>
  </si>
  <si>
    <t xml:space="preserve">Shell/window/buttons</t>
  </si>
  <si>
    <t xml:space="preserve">Plastic shell, window, buttons, labels</t>
  </si>
  <si>
    <t xml:space="preserve">hardware-reference-downloads/M5StickC-Plus/images/dimension-drawing.jpg</t>
  </si>
  <si>
    <t xml:space="preserve">CPLUS-018</t>
  </si>
  <si>
    <t xml:space="preserve">Board</t>
  </si>
  <si>
    <t xml:space="preserve">StickS3</t>
  </si>
  <si>
    <t xml:space="preserve">M5StickC-Plus</t>
  </si>
  <si>
    <t xml:space="preserve">Source</t>
  </si>
  <si>
    <t xml:space="preserve">What was used</t>
  </si>
  <si>
    <t xml:space="preserve">URL / Local path</t>
  </si>
  <si>
    <t xml:space="preserve">Pricing facts captured</t>
  </si>
  <si>
    <t xml:space="preserve">LCSC ESP32-PICO-D4</t>
  </si>
  <si>
    <t xml:space="preserve">M5StickC Plus MCU public price</t>
  </si>
  <si>
    <t xml:space="preserve">Search result showed price from $2.8935.</t>
  </si>
  <si>
    <t xml:space="preserve">LCSC ES8311</t>
  </si>
  <si>
    <t xml:space="preserve">StickS3 codec public price</t>
  </si>
  <si>
    <t xml:space="preserve">Search result showed price from $0.2741.</t>
  </si>
  <si>
    <t xml:space="preserve">LCSC BMI270</t>
  </si>
  <si>
    <t xml:space="preserve">StickS3 IMU public price</t>
  </si>
  <si>
    <t xml:space="preserve">Search result showed 1000+ price $1.7866 and full reel 5000.</t>
  </si>
  <si>
    <t xml:space="preserve">LCSC BM8563</t>
  </si>
  <si>
    <t xml:space="preserve">M5StickC Plus RTC public price</t>
  </si>
  <si>
    <t xml:space="preserve">Search result showed 1000+ price $0.1176.</t>
  </si>
  <si>
    <t xml:space="preserve">JLCPCB SPM1423</t>
  </si>
  <si>
    <t xml:space="preserve">M5StickC Plus microphone estimate</t>
  </si>
  <si>
    <t xml:space="preserve">Search result showed estimated unit price $2.0373.</t>
  </si>
  <si>
    <t xml:space="preserve">LCSC AW8737</t>
  </si>
  <si>
    <t xml:space="preserve">StickS3 speaker amp comparable</t>
  </si>
  <si>
    <t xml:space="preserve">Search result showed price from $0.1454.</t>
  </si>
  <si>
    <t xml:space="preserve">Made-in-China LCD comparable</t>
  </si>
  <si>
    <t xml:space="preserve">1.14 inch 135x240 ST7789 module</t>
  </si>
  <si>
    <t xml:space="preserve">Search result showed US$1.00 at 10,000+ pieces.</t>
  </si>
  <si>
    <t xml:space="preserve">Official StickS3 schematic</t>
  </si>
  <si>
    <t xml:space="preserve">Schematic and grouping basis</t>
  </si>
  <si>
    <t xml:space="preserve">4-page Altium PDF; no clean production BOM export.</t>
  </si>
  <si>
    <t xml:space="preserve">Official M5StickC Plus schematic</t>
  </si>
  <si>
    <t xml:space="preserve">1-page Altium PDF; no clean production BOM export.</t>
  </si>
  <si>
    <t xml:space="preserve">Metric</t>
  </si>
  <si>
    <t xml:space="preserve">M5StickC Plus</t>
  </si>
  <si>
    <t xml:space="preserve">BOM rows</t>
  </si>
  <si>
    <t xml:space="preserve">Number of cost lines, not schematic refdes count.</t>
  </si>
  <si>
    <t xml:space="preserve">Subtotal CNY / unit</t>
  </si>
  <si>
    <t xml:space="preserve">Before scrap/yield adder.</t>
  </si>
  <si>
    <t xml:space="preserve">Yield/scrap adder</t>
  </si>
  <si>
    <t xml:space="preserve">Assumption-driven adder.</t>
  </si>
  <si>
    <t xml:space="preserve">Estimated CNY / unit</t>
  </si>
  <si>
    <t xml:space="preserve">Primary decision estimate.</t>
  </si>
  <si>
    <t xml:space="preserve">Estimated total CNY @10k</t>
  </si>
  <si>
    <t xml:space="preserve">Unit estimate times selected quantity.</t>
  </si>
  <si>
    <t xml:space="preserve">High confidence CNY / unit</t>
  </si>
  <si>
    <t xml:space="preserve">Rows with public distributor price.</t>
  </si>
  <si>
    <t xml:space="preserve">Low/RFQ CNY / unit</t>
  </si>
  <si>
    <t xml:space="preserve">Amount that must be confirmed by RFQ or exact production BOM.</t>
  </si>
  <si>
    <t xml:space="preserve">Low/RFQ share</t>
  </si>
  <si>
    <t xml:space="preserve">Risk concentration.</t>
  </si>
  <si>
    <t xml:space="preserve">RFQ/estimate row count</t>
  </si>
  <si>
    <t xml:space="preserve">Rows needing supplier quote or exact MPN.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</si>
</sst>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4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5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.65" hidden="false" customHeight="false" outlineLevel="0" collapsed="false">
      <c r="A3" s="0" t="s">
        <v>8</v>
      </c>
      <c r="B3" s="2" t="n">
        <v>10000</v>
      </c>
      <c r="C3" s="3" t="s">
        <v>9</v>
      </c>
      <c r="D3" s="3" t="s">
        <v>10</v>
      </c>
    </row>
    <row r="4" customFormat="false" ht="12.8" hidden="false" customHeight="false" outlineLevel="0" collapsed="false">
      <c r="A4" s="0" t="s">
        <v>11</v>
      </c>
      <c r="B4" s="2" t="n">
        <v>7.25</v>
      </c>
      <c r="C4" s="3" t="s">
        <v>12</v>
      </c>
      <c r="D4" s="3" t="s">
        <v>13</v>
      </c>
    </row>
    <row r="5" customFormat="false" ht="12.8" hidden="false" customHeight="false" outlineLevel="0" collapsed="false">
      <c r="A5" s="0" t="s">
        <v>14</v>
      </c>
      <c r="B5" s="2" t="n">
        <v>0.03</v>
      </c>
      <c r="C5" s="3" t="s">
        <v>15</v>
      </c>
      <c r="D5" s="3" t="s">
        <v>16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4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55"/>
  </cols>
  <sheetData>
    <row r="1" customFormat="false" ht="12.8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</row>
    <row r="2" customFormat="false" ht="12.8" hidden="false" customHeight="false" outlineLevel="0" collapsed="false">
      <c r="A2" s="0" t="s">
        <v>40</v>
      </c>
      <c r="B2" s="0" t="s">
        <v>41</v>
      </c>
      <c r="C2" s="0" t="s">
        <v>42</v>
      </c>
      <c r="D2" s="2" t="n">
        <v>1</v>
      </c>
      <c r="E2" s="3" t="s">
        <v>43</v>
      </c>
      <c r="F2" s="3" t="s">
        <v>44</v>
      </c>
      <c r="G2" s="3" t="s">
        <v>45</v>
      </c>
      <c r="H2" s="3" t="s">
        <v>46</v>
      </c>
      <c r="I2" s="2" t="n">
        <v>10000</v>
      </c>
      <c r="J2" s="2" t="n">
        <v>5.2</v>
      </c>
      <c r="K2" s="2" t="s">
        <v>47</v>
      </c>
      <c r="L2" s="2" t="n">
        <v>7.25</v>
      </c>
      <c r="M2" s="4" t="n">
        <f aca="false">J2*L2</f>
        <v>37.7</v>
      </c>
      <c r="N2" s="4" t="n">
        <f aca="false">D2*M2</f>
        <v>37.7</v>
      </c>
      <c r="O2" s="4" t="n">
        <f aca="false">N2*Assumptions!$B$3</f>
        <v>377000</v>
      </c>
      <c r="P2" s="3" t="s">
        <v>48</v>
      </c>
      <c r="Q2" s="5" t="s">
        <v>49</v>
      </c>
      <c r="R2" s="5" t="s">
        <v>50</v>
      </c>
      <c r="S2" s="3" t="s">
        <v>51</v>
      </c>
    </row>
    <row r="3" customFormat="false" ht="12.8" hidden="false" customHeight="false" outlineLevel="0" collapsed="false">
      <c r="A3" s="0" t="s">
        <v>52</v>
      </c>
      <c r="B3" s="0" t="s">
        <v>53</v>
      </c>
      <c r="C3" s="0" t="s">
        <v>54</v>
      </c>
      <c r="D3" s="2" t="n">
        <v>1</v>
      </c>
      <c r="E3" s="3" t="s">
        <v>55</v>
      </c>
      <c r="F3" s="3" t="s">
        <v>56</v>
      </c>
      <c r="G3" s="3" t="s">
        <v>57</v>
      </c>
      <c r="H3" s="3" t="s">
        <v>58</v>
      </c>
      <c r="I3" s="2" t="n">
        <v>10000</v>
      </c>
      <c r="J3" s="2" t="n">
        <v>1</v>
      </c>
      <c r="K3" s="2" t="s">
        <v>47</v>
      </c>
      <c r="L3" s="2" t="n">
        <v>7.25</v>
      </c>
      <c r="M3" s="4" t="n">
        <f aca="false">J3*L3</f>
        <v>7.25</v>
      </c>
      <c r="N3" s="4" t="n">
        <f aca="false">D3*M3</f>
        <v>7.25</v>
      </c>
      <c r="O3" s="4" t="n">
        <f aca="false">N3*Assumptions!$B$3</f>
        <v>72500</v>
      </c>
      <c r="P3" s="3" t="s">
        <v>59</v>
      </c>
      <c r="Q3" s="5" t="s">
        <v>60</v>
      </c>
      <c r="R3" s="5" t="s">
        <v>61</v>
      </c>
      <c r="S3" s="3" t="s">
        <v>62</v>
      </c>
    </row>
    <row r="4" customFormat="false" ht="12.8" hidden="false" customHeight="false" outlineLevel="0" collapsed="false">
      <c r="A4" s="0" t="s">
        <v>63</v>
      </c>
      <c r="B4" s="0" t="s">
        <v>64</v>
      </c>
      <c r="C4" s="0" t="s">
        <v>65</v>
      </c>
      <c r="D4" s="2" t="n">
        <v>1</v>
      </c>
      <c r="E4" s="3" t="s">
        <v>65</v>
      </c>
      <c r="F4" s="3" t="s">
        <v>66</v>
      </c>
      <c r="G4" s="3" t="s">
        <v>67</v>
      </c>
      <c r="H4" s="3" t="s">
        <v>68</v>
      </c>
      <c r="I4" s="2" t="n">
        <v>1</v>
      </c>
      <c r="J4" s="2" t="n">
        <v>0.2741</v>
      </c>
      <c r="K4" s="2" t="s">
        <v>47</v>
      </c>
      <c r="L4" s="2" t="n">
        <v>7.25</v>
      </c>
      <c r="M4" s="4" t="n">
        <f aca="false">J4*L4</f>
        <v>1.987225</v>
      </c>
      <c r="N4" s="4" t="n">
        <f aca="false">D4*M4</f>
        <v>1.987225</v>
      </c>
      <c r="O4" s="4" t="n">
        <f aca="false">N4*Assumptions!$B$3</f>
        <v>19872.25</v>
      </c>
      <c r="P4" s="3" t="s">
        <v>69</v>
      </c>
      <c r="Q4" s="3" t="s">
        <v>70</v>
      </c>
      <c r="R4" s="3" t="s">
        <v>71</v>
      </c>
      <c r="S4" s="3" t="s">
        <v>72</v>
      </c>
    </row>
    <row r="5" customFormat="false" ht="12.8" hidden="false" customHeight="false" outlineLevel="0" collapsed="false">
      <c r="A5" s="0" t="s">
        <v>73</v>
      </c>
      <c r="B5" s="0" t="s">
        <v>74</v>
      </c>
      <c r="C5" s="0" t="s">
        <v>75</v>
      </c>
      <c r="D5" s="2" t="n">
        <v>1</v>
      </c>
      <c r="E5" s="3" t="s">
        <v>76</v>
      </c>
      <c r="F5" s="3" t="s">
        <v>77</v>
      </c>
      <c r="G5" s="3" t="s">
        <v>78</v>
      </c>
      <c r="H5" s="3" t="s">
        <v>79</v>
      </c>
      <c r="I5" s="2" t="n">
        <v>10000</v>
      </c>
      <c r="J5" s="2" t="n">
        <v>1.5</v>
      </c>
      <c r="K5" s="2" t="s">
        <v>80</v>
      </c>
      <c r="L5" s="2" t="n">
        <v>1</v>
      </c>
      <c r="M5" s="4" t="n">
        <f aca="false">J5*L5</f>
        <v>1.5</v>
      </c>
      <c r="N5" s="4" t="n">
        <f aca="false">D5*M5</f>
        <v>1.5</v>
      </c>
      <c r="O5" s="4" t="n">
        <f aca="false">N5*Assumptions!$B$3</f>
        <v>15000</v>
      </c>
      <c r="P5" s="3" t="s">
        <v>81</v>
      </c>
      <c r="Q5" s="5" t="s">
        <v>49</v>
      </c>
      <c r="R5" s="5" t="s">
        <v>50</v>
      </c>
      <c r="S5" s="3" t="s">
        <v>82</v>
      </c>
    </row>
    <row r="6" customFormat="false" ht="12.8" hidden="false" customHeight="false" outlineLevel="0" collapsed="false">
      <c r="A6" s="0" t="s">
        <v>83</v>
      </c>
      <c r="B6" s="0" t="s">
        <v>84</v>
      </c>
      <c r="C6" s="0" t="s">
        <v>85</v>
      </c>
      <c r="D6" s="2" t="n">
        <v>1</v>
      </c>
      <c r="E6" s="3" t="s">
        <v>86</v>
      </c>
      <c r="F6" s="3" t="s">
        <v>87</v>
      </c>
      <c r="G6" s="3" t="s">
        <v>88</v>
      </c>
      <c r="H6" s="3" t="s">
        <v>89</v>
      </c>
      <c r="I6" s="2" t="n">
        <v>1</v>
      </c>
      <c r="J6" s="2" t="n">
        <v>0.1454</v>
      </c>
      <c r="K6" s="2" t="s">
        <v>47</v>
      </c>
      <c r="L6" s="2" t="n">
        <v>7.25</v>
      </c>
      <c r="M6" s="4" t="n">
        <f aca="false">J6*L6</f>
        <v>1.05415</v>
      </c>
      <c r="N6" s="4" t="n">
        <f aca="false">D6*M6</f>
        <v>1.05415</v>
      </c>
      <c r="O6" s="4" t="n">
        <f aca="false">N6*Assumptions!$B$3</f>
        <v>10541.5</v>
      </c>
      <c r="P6" s="3" t="s">
        <v>90</v>
      </c>
      <c r="Q6" s="5" t="s">
        <v>60</v>
      </c>
      <c r="R6" s="5" t="s">
        <v>61</v>
      </c>
      <c r="S6" s="3" t="s">
        <v>91</v>
      </c>
    </row>
    <row r="7" customFormat="false" ht="12.8" hidden="false" customHeight="false" outlineLevel="0" collapsed="false">
      <c r="A7" s="0" t="s">
        <v>92</v>
      </c>
      <c r="B7" s="0" t="s">
        <v>93</v>
      </c>
      <c r="C7" s="0" t="s">
        <v>94</v>
      </c>
      <c r="D7" s="2" t="n">
        <v>1</v>
      </c>
      <c r="E7" s="3" t="s">
        <v>95</v>
      </c>
      <c r="F7" s="3" t="s">
        <v>96</v>
      </c>
      <c r="G7" s="3" t="s">
        <v>97</v>
      </c>
      <c r="H7" s="3" t="s">
        <v>98</v>
      </c>
      <c r="I7" s="2" t="n">
        <v>10000</v>
      </c>
      <c r="J7" s="2" t="n">
        <v>0.8</v>
      </c>
      <c r="K7" s="2" t="s">
        <v>80</v>
      </c>
      <c r="L7" s="2" t="n">
        <v>1</v>
      </c>
      <c r="M7" s="4" t="n">
        <f aca="false">J7*L7</f>
        <v>0.8</v>
      </c>
      <c r="N7" s="4" t="n">
        <f aca="false">D7*M7</f>
        <v>0.8</v>
      </c>
      <c r="O7" s="4" t="n">
        <f aca="false">N7*Assumptions!$B$3</f>
        <v>8000</v>
      </c>
      <c r="P7" s="3" t="s">
        <v>81</v>
      </c>
      <c r="Q7" s="5" t="s">
        <v>49</v>
      </c>
      <c r="R7" s="5" t="s">
        <v>50</v>
      </c>
      <c r="S7" s="3" t="s">
        <v>99</v>
      </c>
    </row>
    <row r="8" customFormat="false" ht="12.8" hidden="false" customHeight="false" outlineLevel="0" collapsed="false">
      <c r="A8" s="0" t="s">
        <v>100</v>
      </c>
      <c r="B8" s="0" t="s">
        <v>101</v>
      </c>
      <c r="C8" s="0" t="s">
        <v>102</v>
      </c>
      <c r="D8" s="2" t="n">
        <v>1</v>
      </c>
      <c r="E8" s="3" t="s">
        <v>102</v>
      </c>
      <c r="F8" s="3" t="s">
        <v>103</v>
      </c>
      <c r="G8" s="3" t="s">
        <v>104</v>
      </c>
      <c r="H8" s="3" t="s">
        <v>105</v>
      </c>
      <c r="I8" s="2" t="n">
        <v>5000</v>
      </c>
      <c r="J8" s="2" t="n">
        <v>1.7866</v>
      </c>
      <c r="K8" s="2" t="s">
        <v>47</v>
      </c>
      <c r="L8" s="2" t="n">
        <v>7.25</v>
      </c>
      <c r="M8" s="4" t="n">
        <f aca="false">J8*L8</f>
        <v>12.95285</v>
      </c>
      <c r="N8" s="4" t="n">
        <f aca="false">D8*M8</f>
        <v>12.95285</v>
      </c>
      <c r="O8" s="4" t="n">
        <f aca="false">N8*Assumptions!$B$3</f>
        <v>129528.5</v>
      </c>
      <c r="P8" s="3" t="s">
        <v>106</v>
      </c>
      <c r="Q8" s="3" t="s">
        <v>70</v>
      </c>
      <c r="R8" s="3" t="s">
        <v>71</v>
      </c>
      <c r="S8" s="3" t="s">
        <v>107</v>
      </c>
    </row>
    <row r="9" customFormat="false" ht="12.8" hidden="false" customHeight="false" outlineLevel="0" collapsed="false">
      <c r="A9" s="0" t="s">
        <v>108</v>
      </c>
      <c r="B9" s="0" t="s">
        <v>109</v>
      </c>
      <c r="C9" s="0" t="s">
        <v>110</v>
      </c>
      <c r="D9" s="2" t="n">
        <v>1</v>
      </c>
      <c r="E9" s="3" t="s">
        <v>111</v>
      </c>
      <c r="F9" s="3" t="s">
        <v>112</v>
      </c>
      <c r="G9" s="3" t="s">
        <v>113</v>
      </c>
      <c r="H9" s="3" t="s">
        <v>114</v>
      </c>
      <c r="I9" s="2" t="n">
        <v>10000</v>
      </c>
      <c r="J9" s="2" t="n">
        <v>4.5</v>
      </c>
      <c r="K9" s="2" t="s">
        <v>80</v>
      </c>
      <c r="L9" s="2" t="n">
        <v>1</v>
      </c>
      <c r="M9" s="4" t="n">
        <f aca="false">J9*L9</f>
        <v>4.5</v>
      </c>
      <c r="N9" s="4" t="n">
        <f aca="false">D9*M9</f>
        <v>4.5</v>
      </c>
      <c r="O9" s="4" t="n">
        <f aca="false">N9*Assumptions!$B$3</f>
        <v>45000</v>
      </c>
      <c r="P9" s="3" t="s">
        <v>115</v>
      </c>
      <c r="Q9" s="5" t="s">
        <v>49</v>
      </c>
      <c r="R9" s="5" t="s">
        <v>50</v>
      </c>
      <c r="S9" s="3" t="s">
        <v>116</v>
      </c>
    </row>
    <row r="10" customFormat="false" ht="12.8" hidden="false" customHeight="false" outlineLevel="0" collapsed="false">
      <c r="A10" s="0" t="s">
        <v>117</v>
      </c>
      <c r="B10" s="0" t="s">
        <v>118</v>
      </c>
      <c r="C10" s="0" t="s">
        <v>119</v>
      </c>
      <c r="D10" s="2" t="n">
        <v>1</v>
      </c>
      <c r="E10" s="3" t="s">
        <v>120</v>
      </c>
      <c r="F10" s="3" t="s">
        <v>121</v>
      </c>
      <c r="G10" s="3" t="s">
        <v>122</v>
      </c>
      <c r="H10" s="3" t="s">
        <v>123</v>
      </c>
      <c r="I10" s="2" t="n">
        <v>10000</v>
      </c>
      <c r="J10" s="2" t="n">
        <v>1</v>
      </c>
      <c r="K10" s="2" t="s">
        <v>47</v>
      </c>
      <c r="L10" s="2" t="n">
        <v>7.25</v>
      </c>
      <c r="M10" s="4" t="n">
        <f aca="false">J10*L10</f>
        <v>7.25</v>
      </c>
      <c r="N10" s="4" t="n">
        <f aca="false">D10*M10</f>
        <v>7.25</v>
      </c>
      <c r="O10" s="4" t="n">
        <f aca="false">N10*Assumptions!$B$3</f>
        <v>72500</v>
      </c>
      <c r="P10" s="3" t="s">
        <v>124</v>
      </c>
      <c r="Q10" s="5" t="s">
        <v>60</v>
      </c>
      <c r="R10" s="5" t="s">
        <v>61</v>
      </c>
      <c r="S10" s="3" t="s">
        <v>125</v>
      </c>
    </row>
    <row r="11" customFormat="false" ht="12.8" hidden="false" customHeight="false" outlineLevel="0" collapsed="false">
      <c r="A11" s="0" t="s">
        <v>126</v>
      </c>
      <c r="B11" s="0" t="s">
        <v>127</v>
      </c>
      <c r="C11" s="0" t="s">
        <v>128</v>
      </c>
      <c r="D11" s="2" t="n">
        <v>1</v>
      </c>
      <c r="E11" s="3" t="s">
        <v>129</v>
      </c>
      <c r="F11" s="3" t="s">
        <v>130</v>
      </c>
      <c r="G11" s="3" t="s">
        <v>131</v>
      </c>
      <c r="H11" s="3" t="s">
        <v>98</v>
      </c>
      <c r="I11" s="2" t="n">
        <v>10000</v>
      </c>
      <c r="J11" s="2" t="n">
        <v>0.35</v>
      </c>
      <c r="K11" s="2" t="s">
        <v>80</v>
      </c>
      <c r="L11" s="2" t="n">
        <v>1</v>
      </c>
      <c r="M11" s="4" t="n">
        <f aca="false">J11*L11</f>
        <v>0.35</v>
      </c>
      <c r="N11" s="4" t="n">
        <f aca="false">D11*M11</f>
        <v>0.35</v>
      </c>
      <c r="O11" s="4" t="n">
        <f aca="false">N11*Assumptions!$B$3</f>
        <v>3500</v>
      </c>
      <c r="P11" s="3" t="s">
        <v>132</v>
      </c>
      <c r="Q11" s="5" t="s">
        <v>60</v>
      </c>
      <c r="R11" s="5" t="s">
        <v>133</v>
      </c>
      <c r="S11" s="3" t="s">
        <v>134</v>
      </c>
    </row>
    <row r="12" customFormat="false" ht="12.8" hidden="false" customHeight="false" outlineLevel="0" collapsed="false">
      <c r="A12" s="0" t="s">
        <v>135</v>
      </c>
      <c r="B12" s="0" t="s">
        <v>136</v>
      </c>
      <c r="C12" s="0" t="s">
        <v>137</v>
      </c>
      <c r="D12" s="2" t="n">
        <v>3</v>
      </c>
      <c r="E12" s="3" t="s">
        <v>138</v>
      </c>
      <c r="F12" s="3" t="s">
        <v>139</v>
      </c>
      <c r="G12" s="3" t="s">
        <v>140</v>
      </c>
      <c r="H12" s="3" t="s">
        <v>98</v>
      </c>
      <c r="I12" s="2" t="n">
        <v>10000</v>
      </c>
      <c r="J12" s="2" t="n">
        <v>0.12</v>
      </c>
      <c r="K12" s="2" t="s">
        <v>80</v>
      </c>
      <c r="L12" s="2" t="n">
        <v>1</v>
      </c>
      <c r="M12" s="4" t="n">
        <f aca="false">J12*L12</f>
        <v>0.12</v>
      </c>
      <c r="N12" s="4" t="n">
        <f aca="false">D12*M12</f>
        <v>0.36</v>
      </c>
      <c r="O12" s="4" t="n">
        <f aca="false">N12*Assumptions!$B$3</f>
        <v>3600</v>
      </c>
      <c r="P12" s="3" t="s">
        <v>132</v>
      </c>
      <c r="Q12" s="5" t="s">
        <v>60</v>
      </c>
      <c r="R12" s="5" t="s">
        <v>133</v>
      </c>
      <c r="S12" s="3" t="s">
        <v>141</v>
      </c>
    </row>
    <row r="13" customFormat="false" ht="12.8" hidden="false" customHeight="false" outlineLevel="0" collapsed="false">
      <c r="A13" s="0" t="s">
        <v>142</v>
      </c>
      <c r="B13" s="0" t="s">
        <v>143</v>
      </c>
      <c r="C13" s="0" t="s">
        <v>144</v>
      </c>
      <c r="D13" s="2" t="n">
        <v>2</v>
      </c>
      <c r="E13" s="3" t="s">
        <v>145</v>
      </c>
      <c r="F13" s="3" t="s">
        <v>146</v>
      </c>
      <c r="G13" s="3" t="s">
        <v>147</v>
      </c>
      <c r="H13" s="3" t="s">
        <v>98</v>
      </c>
      <c r="I13" s="2" t="n">
        <v>10000</v>
      </c>
      <c r="J13" s="2" t="n">
        <v>0.18</v>
      </c>
      <c r="K13" s="2" t="s">
        <v>80</v>
      </c>
      <c r="L13" s="2" t="n">
        <v>1</v>
      </c>
      <c r="M13" s="4" t="n">
        <f aca="false">J13*L13</f>
        <v>0.18</v>
      </c>
      <c r="N13" s="4" t="n">
        <f aca="false">D13*M13</f>
        <v>0.36</v>
      </c>
      <c r="O13" s="4" t="n">
        <f aca="false">N13*Assumptions!$B$3</f>
        <v>3600</v>
      </c>
      <c r="P13" s="3" t="s">
        <v>81</v>
      </c>
      <c r="Q13" s="5" t="s">
        <v>49</v>
      </c>
      <c r="R13" s="5" t="s">
        <v>133</v>
      </c>
      <c r="S13" s="3" t="s">
        <v>148</v>
      </c>
    </row>
    <row r="14" customFormat="false" ht="12.8" hidden="false" customHeight="false" outlineLevel="0" collapsed="false">
      <c r="A14" s="0" t="s">
        <v>149</v>
      </c>
      <c r="B14" s="0" t="s">
        <v>150</v>
      </c>
      <c r="C14" s="0" t="s">
        <v>151</v>
      </c>
      <c r="D14" s="2" t="n">
        <v>2</v>
      </c>
      <c r="E14" s="3" t="s">
        <v>152</v>
      </c>
      <c r="F14" s="3" t="s">
        <v>153</v>
      </c>
      <c r="G14" s="3" t="s">
        <v>154</v>
      </c>
      <c r="H14" s="3" t="s">
        <v>98</v>
      </c>
      <c r="I14" s="2" t="n">
        <v>10000</v>
      </c>
      <c r="J14" s="2" t="n">
        <v>0.6</v>
      </c>
      <c r="K14" s="2" t="s">
        <v>80</v>
      </c>
      <c r="L14" s="2" t="n">
        <v>1</v>
      </c>
      <c r="M14" s="4" t="n">
        <f aca="false">J14*L14</f>
        <v>0.6</v>
      </c>
      <c r="N14" s="4" t="n">
        <f aca="false">D14*M14</f>
        <v>1.2</v>
      </c>
      <c r="O14" s="4" t="n">
        <f aca="false">N14*Assumptions!$B$3</f>
        <v>12000</v>
      </c>
      <c r="P14" s="3" t="s">
        <v>81</v>
      </c>
      <c r="Q14" s="5" t="s">
        <v>60</v>
      </c>
      <c r="R14" s="5" t="s">
        <v>133</v>
      </c>
      <c r="S14" s="3" t="s">
        <v>155</v>
      </c>
    </row>
    <row r="15" customFormat="false" ht="12.8" hidden="false" customHeight="false" outlineLevel="0" collapsed="false">
      <c r="A15" s="0" t="s">
        <v>156</v>
      </c>
      <c r="B15" s="0" t="s">
        <v>157</v>
      </c>
      <c r="C15" s="0" t="s">
        <v>158</v>
      </c>
      <c r="D15" s="2" t="n">
        <v>1</v>
      </c>
      <c r="E15" s="3" t="s">
        <v>159</v>
      </c>
      <c r="F15" s="3" t="s">
        <v>160</v>
      </c>
      <c r="G15" s="3" t="s">
        <v>161</v>
      </c>
      <c r="H15" s="3" t="s">
        <v>98</v>
      </c>
      <c r="I15" s="2" t="n">
        <v>10000</v>
      </c>
      <c r="J15" s="2" t="n">
        <v>6</v>
      </c>
      <c r="K15" s="2" t="s">
        <v>80</v>
      </c>
      <c r="L15" s="2" t="n">
        <v>1</v>
      </c>
      <c r="M15" s="4" t="n">
        <f aca="false">J15*L15</f>
        <v>6</v>
      </c>
      <c r="N15" s="4" t="n">
        <f aca="false">D15*M15</f>
        <v>6</v>
      </c>
      <c r="O15" s="4" t="n">
        <f aca="false">N15*Assumptions!$B$3</f>
        <v>60000</v>
      </c>
      <c r="P15" s="3" t="s">
        <v>132</v>
      </c>
      <c r="Q15" s="5" t="s">
        <v>49</v>
      </c>
      <c r="R15" s="5" t="s">
        <v>162</v>
      </c>
      <c r="S15" s="3" t="s">
        <v>163</v>
      </c>
    </row>
    <row r="16" customFormat="false" ht="12.8" hidden="false" customHeight="false" outlineLevel="0" collapsed="false">
      <c r="A16" s="0" t="s">
        <v>164</v>
      </c>
      <c r="B16" s="0" t="s">
        <v>165</v>
      </c>
      <c r="C16" s="0" t="s">
        <v>166</v>
      </c>
      <c r="D16" s="2" t="n">
        <v>1</v>
      </c>
      <c r="E16" s="3" t="s">
        <v>167</v>
      </c>
      <c r="F16" s="3" t="s">
        <v>168</v>
      </c>
      <c r="G16" s="3" t="s">
        <v>169</v>
      </c>
      <c r="H16" s="3" t="s">
        <v>170</v>
      </c>
      <c r="I16" s="2" t="n">
        <v>10000</v>
      </c>
      <c r="J16" s="2" t="n">
        <v>1.2</v>
      </c>
      <c r="K16" s="2" t="s">
        <v>80</v>
      </c>
      <c r="L16" s="2" t="n">
        <v>1</v>
      </c>
      <c r="M16" s="4" t="n">
        <f aca="false">J16*L16</f>
        <v>1.2</v>
      </c>
      <c r="N16" s="4" t="n">
        <f aca="false">D16*M16</f>
        <v>1.2</v>
      </c>
      <c r="O16" s="4" t="n">
        <f aca="false">N16*Assumptions!$B$3</f>
        <v>12000</v>
      </c>
      <c r="P16" s="3" t="s">
        <v>132</v>
      </c>
      <c r="Q16" s="5" t="s">
        <v>49</v>
      </c>
      <c r="R16" s="5" t="s">
        <v>162</v>
      </c>
      <c r="S16" s="3" t="s">
        <v>171</v>
      </c>
    </row>
    <row r="17" customFormat="false" ht="12.8" hidden="false" customHeight="false" outlineLevel="0" collapsed="false">
      <c r="A17" s="0" t="s">
        <v>172</v>
      </c>
      <c r="B17" s="0" t="s">
        <v>173</v>
      </c>
      <c r="C17" s="0" t="s">
        <v>174</v>
      </c>
      <c r="D17" s="2" t="n">
        <v>1</v>
      </c>
      <c r="E17" s="3" t="s">
        <v>175</v>
      </c>
      <c r="F17" s="3" t="s">
        <v>176</v>
      </c>
      <c r="G17" s="3" t="s">
        <v>177</v>
      </c>
      <c r="H17" s="3" t="s">
        <v>98</v>
      </c>
      <c r="I17" s="2" t="n">
        <v>10000</v>
      </c>
      <c r="J17" s="2" t="n">
        <v>0.8</v>
      </c>
      <c r="K17" s="2" t="s">
        <v>80</v>
      </c>
      <c r="L17" s="2" t="n">
        <v>1</v>
      </c>
      <c r="M17" s="4" t="n">
        <f aca="false">J17*L17</f>
        <v>0.8</v>
      </c>
      <c r="N17" s="4" t="n">
        <f aca="false">D17*M17</f>
        <v>0.8</v>
      </c>
      <c r="O17" s="4" t="n">
        <f aca="false">N17*Assumptions!$B$3</f>
        <v>8000</v>
      </c>
      <c r="P17" s="3" t="s">
        <v>81</v>
      </c>
      <c r="Q17" s="5" t="s">
        <v>49</v>
      </c>
      <c r="R17" s="5" t="s">
        <v>50</v>
      </c>
      <c r="S17" s="3" t="s">
        <v>178</v>
      </c>
    </row>
    <row r="18" customFormat="false" ht="12.8" hidden="false" customHeight="false" outlineLevel="0" collapsed="false">
      <c r="A18" s="0" t="s">
        <v>179</v>
      </c>
      <c r="B18" s="0" t="s">
        <v>180</v>
      </c>
      <c r="C18" s="0" t="s">
        <v>180</v>
      </c>
      <c r="D18" s="2" t="n">
        <v>1</v>
      </c>
      <c r="E18" s="3" t="s">
        <v>181</v>
      </c>
      <c r="F18" s="3" t="s">
        <v>182</v>
      </c>
      <c r="G18" s="3" t="s">
        <v>183</v>
      </c>
      <c r="H18" s="3" t="s">
        <v>184</v>
      </c>
      <c r="I18" s="2" t="n">
        <v>10000</v>
      </c>
      <c r="J18" s="2" t="n">
        <v>3</v>
      </c>
      <c r="K18" s="2" t="s">
        <v>80</v>
      </c>
      <c r="L18" s="2" t="n">
        <v>1</v>
      </c>
      <c r="M18" s="4" t="n">
        <f aca="false">J18*L18</f>
        <v>3</v>
      </c>
      <c r="N18" s="4" t="n">
        <f aca="false">D18*M18</f>
        <v>3</v>
      </c>
      <c r="O18" s="4" t="n">
        <f aca="false">N18*Assumptions!$B$3</f>
        <v>30000</v>
      </c>
      <c r="P18" s="3" t="s">
        <v>132</v>
      </c>
      <c r="Q18" s="5" t="s">
        <v>49</v>
      </c>
      <c r="R18" s="5" t="s">
        <v>50</v>
      </c>
      <c r="S18" s="3" t="s">
        <v>185</v>
      </c>
    </row>
    <row r="19" customFormat="false" ht="12.8" hidden="false" customHeight="false" outlineLevel="0" collapsed="false">
      <c r="A19" s="0" t="s">
        <v>186</v>
      </c>
      <c r="B19" s="0" t="s">
        <v>187</v>
      </c>
      <c r="C19" s="0" t="s">
        <v>188</v>
      </c>
      <c r="D19" s="2" t="n">
        <v>1</v>
      </c>
      <c r="E19" s="3" t="s">
        <v>189</v>
      </c>
      <c r="F19" s="3" t="s">
        <v>190</v>
      </c>
      <c r="G19" s="3" t="s">
        <v>191</v>
      </c>
      <c r="H19" s="3" t="s">
        <v>192</v>
      </c>
      <c r="I19" s="2" t="n">
        <v>10000</v>
      </c>
      <c r="J19" s="2" t="n">
        <v>2.8</v>
      </c>
      <c r="K19" s="2" t="s">
        <v>80</v>
      </c>
      <c r="L19" s="2" t="n">
        <v>1</v>
      </c>
      <c r="M19" s="4" t="n">
        <f aca="false">J19*L19</f>
        <v>2.8</v>
      </c>
      <c r="N19" s="4" t="n">
        <f aca="false">D19*M19</f>
        <v>2.8</v>
      </c>
      <c r="O19" s="4" t="n">
        <f aca="false">N19*Assumptions!$B$3</f>
        <v>28000</v>
      </c>
      <c r="P19" s="3" t="s">
        <v>132</v>
      </c>
      <c r="Q19" s="5" t="s">
        <v>49</v>
      </c>
      <c r="R19" s="5" t="s">
        <v>50</v>
      </c>
      <c r="S19" s="3" t="s">
        <v>193</v>
      </c>
    </row>
    <row r="20" customFormat="false" ht="12.8" hidden="false" customHeight="false" outlineLevel="0" collapsed="false">
      <c r="A20" s="0" t="s">
        <v>194</v>
      </c>
      <c r="B20" s="0" t="s">
        <v>195</v>
      </c>
      <c r="C20" s="0" t="s">
        <v>196</v>
      </c>
      <c r="D20" s="2" t="n">
        <v>1</v>
      </c>
      <c r="E20" s="3" t="s">
        <v>197</v>
      </c>
      <c r="F20" s="3" t="s">
        <v>198</v>
      </c>
      <c r="G20" s="3" t="s">
        <v>199</v>
      </c>
      <c r="H20" s="3" t="s">
        <v>98</v>
      </c>
      <c r="I20" s="2" t="n">
        <v>10000</v>
      </c>
      <c r="J20" s="2" t="n">
        <v>3.5</v>
      </c>
      <c r="K20" s="2" t="s">
        <v>80</v>
      </c>
      <c r="L20" s="2" t="n">
        <v>1</v>
      </c>
      <c r="M20" s="4" t="n">
        <f aca="false">J20*L20</f>
        <v>3.5</v>
      </c>
      <c r="N20" s="4" t="n">
        <f aca="false">D20*M20</f>
        <v>3.5</v>
      </c>
      <c r="O20" s="4" t="n">
        <f aca="false">N20*Assumptions!$B$3</f>
        <v>35000</v>
      </c>
      <c r="P20" s="3" t="s">
        <v>200</v>
      </c>
      <c r="Q20" s="5" t="s">
        <v>49</v>
      </c>
      <c r="R20" s="5" t="s">
        <v>50</v>
      </c>
      <c r="S20" s="3" t="s">
        <v>201</v>
      </c>
    </row>
    <row r="21" customFormat="false" ht="12.8" hidden="false" customHeight="false" outlineLevel="0" collapsed="false">
      <c r="A21" s="0" t="s">
        <v>202</v>
      </c>
      <c r="B21" s="0" t="s">
        <v>203</v>
      </c>
      <c r="C21" s="0" t="s">
        <v>204</v>
      </c>
      <c r="D21" s="2" t="n">
        <v>1</v>
      </c>
      <c r="E21" s="3" t="s">
        <v>205</v>
      </c>
      <c r="F21" s="3" t="s">
        <v>206</v>
      </c>
      <c r="G21" s="3" t="s">
        <v>203</v>
      </c>
      <c r="H21" s="3" t="s">
        <v>98</v>
      </c>
      <c r="I21" s="2" t="n">
        <v>10000</v>
      </c>
      <c r="J21" s="2" t="n">
        <v>1</v>
      </c>
      <c r="K21" s="2" t="s">
        <v>80</v>
      </c>
      <c r="L21" s="2" t="n">
        <v>1</v>
      </c>
      <c r="M21" s="4" t="n">
        <f aca="false">J21*L21</f>
        <v>1</v>
      </c>
      <c r="N21" s="4" t="n">
        <f aca="false">D21*M21</f>
        <v>1</v>
      </c>
      <c r="O21" s="4" t="n">
        <f aca="false">N21*Assumptions!$B$3</f>
        <v>10000</v>
      </c>
      <c r="P21" s="3" t="s">
        <v>81</v>
      </c>
      <c r="Q21" s="5" t="s">
        <v>49</v>
      </c>
      <c r="R21" s="5" t="s">
        <v>133</v>
      </c>
      <c r="S21" s="3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4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55"/>
  </cols>
  <sheetData>
    <row r="1" customFormat="false" ht="12.8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</row>
    <row r="2" customFormat="false" ht="12.8" hidden="false" customHeight="false" outlineLevel="0" collapsed="false">
      <c r="A2" s="0" t="s">
        <v>208</v>
      </c>
      <c r="B2" s="0" t="s">
        <v>41</v>
      </c>
      <c r="C2" s="0" t="s">
        <v>209</v>
      </c>
      <c r="D2" s="2" t="n">
        <v>1</v>
      </c>
      <c r="E2" s="3" t="s">
        <v>210</v>
      </c>
      <c r="F2" s="3" t="s">
        <v>211</v>
      </c>
      <c r="G2" s="3" t="s">
        <v>212</v>
      </c>
      <c r="H2" s="3" t="s">
        <v>213</v>
      </c>
      <c r="I2" s="2" t="n">
        <v>1</v>
      </c>
      <c r="J2" s="2" t="n">
        <v>2.8935</v>
      </c>
      <c r="K2" s="2" t="s">
        <v>47</v>
      </c>
      <c r="L2" s="2" t="n">
        <v>7.25</v>
      </c>
      <c r="M2" s="4" t="n">
        <f aca="false">J2*L2</f>
        <v>20.977875</v>
      </c>
      <c r="N2" s="4" t="n">
        <f aca="false">D2*M2</f>
        <v>20.977875</v>
      </c>
      <c r="O2" s="4" t="n">
        <f aca="false">N2*Assumptions!$B$3</f>
        <v>209778.75</v>
      </c>
      <c r="P2" s="3" t="s">
        <v>214</v>
      </c>
      <c r="Q2" s="3" t="s">
        <v>70</v>
      </c>
      <c r="R2" s="3" t="s">
        <v>71</v>
      </c>
      <c r="S2" s="3" t="s">
        <v>215</v>
      </c>
    </row>
    <row r="3" customFormat="false" ht="12.8" hidden="false" customHeight="false" outlineLevel="0" collapsed="false">
      <c r="A3" s="0" t="s">
        <v>216</v>
      </c>
      <c r="B3" s="0" t="s">
        <v>53</v>
      </c>
      <c r="C3" s="0" t="s">
        <v>217</v>
      </c>
      <c r="D3" s="2" t="n">
        <v>1</v>
      </c>
      <c r="E3" s="3" t="s">
        <v>55</v>
      </c>
      <c r="F3" s="3" t="s">
        <v>56</v>
      </c>
      <c r="G3" s="3" t="s">
        <v>57</v>
      </c>
      <c r="H3" s="3" t="s">
        <v>58</v>
      </c>
      <c r="I3" s="2" t="n">
        <v>10000</v>
      </c>
      <c r="J3" s="2" t="n">
        <v>1</v>
      </c>
      <c r="K3" s="2" t="s">
        <v>47</v>
      </c>
      <c r="L3" s="2" t="n">
        <v>7.25</v>
      </c>
      <c r="M3" s="4" t="n">
        <f aca="false">J3*L3</f>
        <v>7.25</v>
      </c>
      <c r="N3" s="4" t="n">
        <f aca="false">D3*M3</f>
        <v>7.25</v>
      </c>
      <c r="O3" s="4" t="n">
        <f aca="false">N3*Assumptions!$B$3</f>
        <v>72500</v>
      </c>
      <c r="P3" s="3" t="s">
        <v>59</v>
      </c>
      <c r="Q3" s="5" t="s">
        <v>60</v>
      </c>
      <c r="R3" s="5" t="s">
        <v>61</v>
      </c>
      <c r="S3" s="3" t="s">
        <v>62</v>
      </c>
    </row>
    <row r="4" customFormat="false" ht="12.8" hidden="false" customHeight="false" outlineLevel="0" collapsed="false">
      <c r="A4" s="0" t="s">
        <v>218</v>
      </c>
      <c r="B4" s="0" t="s">
        <v>74</v>
      </c>
      <c r="C4" s="0" t="s">
        <v>75</v>
      </c>
      <c r="D4" s="2" t="n">
        <v>1</v>
      </c>
      <c r="E4" s="3" t="s">
        <v>219</v>
      </c>
      <c r="F4" s="3" t="s">
        <v>220</v>
      </c>
      <c r="G4" s="3" t="s">
        <v>221</v>
      </c>
      <c r="H4" s="3" t="s">
        <v>222</v>
      </c>
      <c r="I4" s="2" t="n">
        <v>1</v>
      </c>
      <c r="J4" s="2" t="n">
        <v>2.0373</v>
      </c>
      <c r="K4" s="2" t="s">
        <v>47</v>
      </c>
      <c r="L4" s="2" t="n">
        <v>7.25</v>
      </c>
      <c r="M4" s="4" t="n">
        <f aca="false">J4*L4</f>
        <v>14.770425</v>
      </c>
      <c r="N4" s="4" t="n">
        <f aca="false">D4*M4</f>
        <v>14.770425</v>
      </c>
      <c r="O4" s="4" t="n">
        <f aca="false">N4*Assumptions!$B$3</f>
        <v>147704.25</v>
      </c>
      <c r="P4" s="3" t="s">
        <v>223</v>
      </c>
      <c r="Q4" s="5" t="s">
        <v>60</v>
      </c>
      <c r="R4" s="5" t="s">
        <v>71</v>
      </c>
      <c r="S4" s="3" t="s">
        <v>224</v>
      </c>
    </row>
    <row r="5" customFormat="false" ht="12.8" hidden="false" customHeight="false" outlineLevel="0" collapsed="false">
      <c r="A5" s="0" t="s">
        <v>225</v>
      </c>
      <c r="B5" s="0" t="s">
        <v>226</v>
      </c>
      <c r="C5" s="0" t="s">
        <v>227</v>
      </c>
      <c r="D5" s="2" t="n">
        <v>1</v>
      </c>
      <c r="E5" s="3" t="s">
        <v>228</v>
      </c>
      <c r="F5" s="3" t="s">
        <v>229</v>
      </c>
      <c r="G5" s="3" t="s">
        <v>230</v>
      </c>
      <c r="H5" s="3" t="s">
        <v>98</v>
      </c>
      <c r="I5" s="2" t="n">
        <v>10000</v>
      </c>
      <c r="J5" s="2" t="n">
        <v>0.5</v>
      </c>
      <c r="K5" s="2" t="s">
        <v>80</v>
      </c>
      <c r="L5" s="2" t="n">
        <v>1</v>
      </c>
      <c r="M5" s="4" t="n">
        <f aca="false">J5*L5</f>
        <v>0.5</v>
      </c>
      <c r="N5" s="4" t="n">
        <f aca="false">D5*M5</f>
        <v>0.5</v>
      </c>
      <c r="O5" s="4" t="n">
        <f aca="false">N5*Assumptions!$B$3</f>
        <v>5000</v>
      </c>
      <c r="P5" s="3" t="s">
        <v>231</v>
      </c>
      <c r="Q5" s="5" t="s">
        <v>49</v>
      </c>
      <c r="R5" s="5" t="s">
        <v>50</v>
      </c>
      <c r="S5" s="3" t="s">
        <v>232</v>
      </c>
    </row>
    <row r="6" customFormat="false" ht="12.8" hidden="false" customHeight="false" outlineLevel="0" collapsed="false">
      <c r="A6" s="0" t="s">
        <v>233</v>
      </c>
      <c r="B6" s="0" t="s">
        <v>101</v>
      </c>
      <c r="C6" s="0" t="s">
        <v>234</v>
      </c>
      <c r="D6" s="2" t="n">
        <v>1</v>
      </c>
      <c r="E6" s="3" t="s">
        <v>234</v>
      </c>
      <c r="F6" s="3" t="s">
        <v>103</v>
      </c>
      <c r="G6" s="3" t="s">
        <v>235</v>
      </c>
      <c r="H6" s="3" t="s">
        <v>236</v>
      </c>
      <c r="I6" s="2" t="n">
        <v>10000</v>
      </c>
      <c r="J6" s="2" t="n">
        <v>10</v>
      </c>
      <c r="K6" s="2" t="s">
        <v>80</v>
      </c>
      <c r="L6" s="2" t="n">
        <v>1</v>
      </c>
      <c r="M6" s="4" t="n">
        <f aca="false">J6*L6</f>
        <v>10</v>
      </c>
      <c r="N6" s="4" t="n">
        <f aca="false">D6*M6</f>
        <v>10</v>
      </c>
      <c r="O6" s="4" t="n">
        <f aca="false">N6*Assumptions!$B$3</f>
        <v>100000</v>
      </c>
      <c r="P6" s="3" t="s">
        <v>237</v>
      </c>
      <c r="Q6" s="5" t="s">
        <v>49</v>
      </c>
      <c r="R6" s="5" t="s">
        <v>50</v>
      </c>
      <c r="S6" s="3" t="s">
        <v>238</v>
      </c>
    </row>
    <row r="7" customFormat="false" ht="12.8" hidden="false" customHeight="false" outlineLevel="0" collapsed="false">
      <c r="A7" s="0" t="s">
        <v>239</v>
      </c>
      <c r="B7" s="0" t="s">
        <v>240</v>
      </c>
      <c r="C7" s="0" t="s">
        <v>241</v>
      </c>
      <c r="D7" s="2" t="n">
        <v>1</v>
      </c>
      <c r="E7" s="3" t="s">
        <v>242</v>
      </c>
      <c r="F7" s="3" t="s">
        <v>243</v>
      </c>
      <c r="G7" s="3" t="s">
        <v>244</v>
      </c>
      <c r="H7" s="3" t="s">
        <v>245</v>
      </c>
      <c r="I7" s="2" t="n">
        <v>4000</v>
      </c>
      <c r="J7" s="2" t="n">
        <v>0.1176</v>
      </c>
      <c r="K7" s="2" t="s">
        <v>47</v>
      </c>
      <c r="L7" s="2" t="n">
        <v>7.25</v>
      </c>
      <c r="M7" s="4" t="n">
        <f aca="false">J7*L7</f>
        <v>0.8526</v>
      </c>
      <c r="N7" s="4" t="n">
        <f aca="false">D7*M7</f>
        <v>0.8526</v>
      </c>
      <c r="O7" s="4" t="n">
        <f aca="false">N7*Assumptions!$B$3</f>
        <v>8526</v>
      </c>
      <c r="P7" s="3" t="s">
        <v>246</v>
      </c>
      <c r="Q7" s="3" t="s">
        <v>70</v>
      </c>
      <c r="R7" s="3" t="s">
        <v>71</v>
      </c>
      <c r="S7" s="3" t="s">
        <v>247</v>
      </c>
    </row>
    <row r="8" customFormat="false" ht="12.8" hidden="false" customHeight="false" outlineLevel="0" collapsed="false">
      <c r="A8" s="0" t="s">
        <v>248</v>
      </c>
      <c r="B8" s="0" t="s">
        <v>109</v>
      </c>
      <c r="C8" s="0" t="s">
        <v>42</v>
      </c>
      <c r="D8" s="2" t="n">
        <v>1</v>
      </c>
      <c r="E8" s="3" t="s">
        <v>249</v>
      </c>
      <c r="F8" s="3" t="s">
        <v>250</v>
      </c>
      <c r="G8" s="3" t="s">
        <v>235</v>
      </c>
      <c r="H8" s="3" t="s">
        <v>79</v>
      </c>
      <c r="I8" s="2" t="n">
        <v>10000</v>
      </c>
      <c r="J8" s="2" t="n">
        <v>3.5</v>
      </c>
      <c r="K8" s="2" t="s">
        <v>80</v>
      </c>
      <c r="L8" s="2" t="n">
        <v>1</v>
      </c>
      <c r="M8" s="4" t="n">
        <f aca="false">J8*L8</f>
        <v>3.5</v>
      </c>
      <c r="N8" s="4" t="n">
        <f aca="false">D8*M8</f>
        <v>3.5</v>
      </c>
      <c r="O8" s="4" t="n">
        <f aca="false">N8*Assumptions!$B$3</f>
        <v>35000</v>
      </c>
      <c r="P8" s="3" t="s">
        <v>251</v>
      </c>
      <c r="Q8" s="5" t="s">
        <v>49</v>
      </c>
      <c r="R8" s="5" t="s">
        <v>50</v>
      </c>
      <c r="S8" s="3" t="s">
        <v>252</v>
      </c>
    </row>
    <row r="9" customFormat="false" ht="12.8" hidden="false" customHeight="false" outlineLevel="0" collapsed="false">
      <c r="A9" s="0" t="s">
        <v>253</v>
      </c>
      <c r="B9" s="0" t="s">
        <v>118</v>
      </c>
      <c r="C9" s="0" t="s">
        <v>119</v>
      </c>
      <c r="D9" s="2" t="n">
        <v>1</v>
      </c>
      <c r="E9" s="3" t="s">
        <v>254</v>
      </c>
      <c r="F9" s="3" t="s">
        <v>255</v>
      </c>
      <c r="G9" s="3" t="s">
        <v>122</v>
      </c>
      <c r="H9" s="3" t="s">
        <v>256</v>
      </c>
      <c r="I9" s="2" t="n">
        <v>10000</v>
      </c>
      <c r="J9" s="2" t="n">
        <v>4</v>
      </c>
      <c r="K9" s="2" t="s">
        <v>80</v>
      </c>
      <c r="L9" s="2" t="n">
        <v>1</v>
      </c>
      <c r="M9" s="4" t="n">
        <f aca="false">J9*L9</f>
        <v>4</v>
      </c>
      <c r="N9" s="4" t="n">
        <f aca="false">D9*M9</f>
        <v>4</v>
      </c>
      <c r="O9" s="4" t="n">
        <f aca="false">N9*Assumptions!$B$3</f>
        <v>40000</v>
      </c>
      <c r="P9" s="3" t="s">
        <v>257</v>
      </c>
      <c r="Q9" s="5" t="s">
        <v>60</v>
      </c>
      <c r="R9" s="5" t="s">
        <v>61</v>
      </c>
      <c r="S9" s="3" t="s">
        <v>258</v>
      </c>
    </row>
    <row r="10" customFormat="false" ht="12.8" hidden="false" customHeight="false" outlineLevel="0" collapsed="false">
      <c r="A10" s="0" t="s">
        <v>259</v>
      </c>
      <c r="B10" s="0" t="s">
        <v>260</v>
      </c>
      <c r="C10" s="0" t="s">
        <v>261</v>
      </c>
      <c r="D10" s="2" t="n">
        <v>1</v>
      </c>
      <c r="E10" s="3" t="s">
        <v>262</v>
      </c>
      <c r="F10" s="3" t="s">
        <v>263</v>
      </c>
      <c r="G10" s="3" t="s">
        <v>264</v>
      </c>
      <c r="H10" s="3" t="s">
        <v>98</v>
      </c>
      <c r="I10" s="2" t="n">
        <v>10000</v>
      </c>
      <c r="J10" s="2" t="n">
        <v>4.5</v>
      </c>
      <c r="K10" s="2" t="s">
        <v>80</v>
      </c>
      <c r="L10" s="2" t="n">
        <v>1</v>
      </c>
      <c r="M10" s="4" t="n">
        <f aca="false">J10*L10</f>
        <v>4.5</v>
      </c>
      <c r="N10" s="4" t="n">
        <f aca="false">D10*M10</f>
        <v>4.5</v>
      </c>
      <c r="O10" s="4" t="n">
        <f aca="false">N10*Assumptions!$B$3</f>
        <v>45000</v>
      </c>
      <c r="P10" s="3" t="s">
        <v>231</v>
      </c>
      <c r="Q10" s="5" t="s">
        <v>49</v>
      </c>
      <c r="R10" s="5" t="s">
        <v>50</v>
      </c>
      <c r="S10" s="3" t="s">
        <v>265</v>
      </c>
    </row>
    <row r="11" customFormat="false" ht="12.8" hidden="false" customHeight="false" outlineLevel="0" collapsed="false">
      <c r="A11" s="0" t="s">
        <v>266</v>
      </c>
      <c r="B11" s="0" t="s">
        <v>136</v>
      </c>
      <c r="C11" s="0" t="s">
        <v>267</v>
      </c>
      <c r="D11" s="2" t="n">
        <v>3</v>
      </c>
      <c r="E11" s="3" t="s">
        <v>138</v>
      </c>
      <c r="F11" s="3" t="s">
        <v>268</v>
      </c>
      <c r="G11" s="3" t="s">
        <v>140</v>
      </c>
      <c r="H11" s="3" t="s">
        <v>98</v>
      </c>
      <c r="I11" s="2" t="n">
        <v>10000</v>
      </c>
      <c r="J11" s="2" t="n">
        <v>0.12</v>
      </c>
      <c r="K11" s="2" t="s">
        <v>80</v>
      </c>
      <c r="L11" s="2" t="n">
        <v>1</v>
      </c>
      <c r="M11" s="4" t="n">
        <f aca="false">J11*L11</f>
        <v>0.12</v>
      </c>
      <c r="N11" s="4" t="n">
        <f aca="false">D11*M11</f>
        <v>0.36</v>
      </c>
      <c r="O11" s="4" t="n">
        <f aca="false">N11*Assumptions!$B$3</f>
        <v>3600</v>
      </c>
      <c r="P11" s="3" t="s">
        <v>269</v>
      </c>
      <c r="Q11" s="5" t="s">
        <v>60</v>
      </c>
      <c r="R11" s="5" t="s">
        <v>133</v>
      </c>
      <c r="S11" s="3" t="s">
        <v>270</v>
      </c>
    </row>
    <row r="12" customFormat="false" ht="12.8" hidden="false" customHeight="false" outlineLevel="0" collapsed="false">
      <c r="A12" s="0" t="s">
        <v>271</v>
      </c>
      <c r="B12" s="0" t="s">
        <v>272</v>
      </c>
      <c r="C12" s="0" t="s">
        <v>273</v>
      </c>
      <c r="D12" s="2" t="n">
        <v>2</v>
      </c>
      <c r="E12" s="3" t="s">
        <v>274</v>
      </c>
      <c r="F12" s="3" t="s">
        <v>275</v>
      </c>
      <c r="G12" s="3" t="s">
        <v>147</v>
      </c>
      <c r="H12" s="3" t="s">
        <v>98</v>
      </c>
      <c r="I12" s="2" t="n">
        <v>10000</v>
      </c>
      <c r="J12" s="2" t="n">
        <v>0.12</v>
      </c>
      <c r="K12" s="2" t="s">
        <v>80</v>
      </c>
      <c r="L12" s="2" t="n">
        <v>1</v>
      </c>
      <c r="M12" s="4" t="n">
        <f aca="false">J12*L12</f>
        <v>0.12</v>
      </c>
      <c r="N12" s="4" t="n">
        <f aca="false">D12*M12</f>
        <v>0.24</v>
      </c>
      <c r="O12" s="4" t="n">
        <f aca="false">N12*Assumptions!$B$3</f>
        <v>2400</v>
      </c>
      <c r="P12" s="3" t="s">
        <v>231</v>
      </c>
      <c r="Q12" s="5" t="s">
        <v>49</v>
      </c>
      <c r="R12" s="5" t="s">
        <v>133</v>
      </c>
      <c r="S12" s="3" t="s">
        <v>148</v>
      </c>
    </row>
    <row r="13" customFormat="false" ht="12.8" hidden="false" customHeight="false" outlineLevel="0" collapsed="false">
      <c r="A13" s="0" t="s">
        <v>276</v>
      </c>
      <c r="B13" s="0" t="s">
        <v>150</v>
      </c>
      <c r="C13" s="0" t="s">
        <v>277</v>
      </c>
      <c r="D13" s="2" t="n">
        <v>1</v>
      </c>
      <c r="E13" s="3" t="s">
        <v>278</v>
      </c>
      <c r="F13" s="3" t="s">
        <v>279</v>
      </c>
      <c r="G13" s="3" t="s">
        <v>280</v>
      </c>
      <c r="H13" s="3" t="s">
        <v>98</v>
      </c>
      <c r="I13" s="2" t="n">
        <v>10000</v>
      </c>
      <c r="J13" s="2" t="n">
        <v>0.35</v>
      </c>
      <c r="K13" s="2" t="s">
        <v>80</v>
      </c>
      <c r="L13" s="2" t="n">
        <v>1</v>
      </c>
      <c r="M13" s="4" t="n">
        <f aca="false">J13*L13</f>
        <v>0.35</v>
      </c>
      <c r="N13" s="4" t="n">
        <f aca="false">D13*M13</f>
        <v>0.35</v>
      </c>
      <c r="O13" s="4" t="n">
        <f aca="false">N13*Assumptions!$B$3</f>
        <v>3500</v>
      </c>
      <c r="P13" s="3" t="s">
        <v>231</v>
      </c>
      <c r="Q13" s="5" t="s">
        <v>60</v>
      </c>
      <c r="R13" s="5" t="s">
        <v>133</v>
      </c>
      <c r="S13" s="3" t="s">
        <v>281</v>
      </c>
    </row>
    <row r="14" customFormat="false" ht="12.8" hidden="false" customHeight="false" outlineLevel="0" collapsed="false">
      <c r="A14" s="0" t="s">
        <v>282</v>
      </c>
      <c r="B14" s="0" t="s">
        <v>283</v>
      </c>
      <c r="C14" s="0" t="s">
        <v>284</v>
      </c>
      <c r="D14" s="2" t="n">
        <v>1</v>
      </c>
      <c r="E14" s="3" t="s">
        <v>285</v>
      </c>
      <c r="F14" s="3" t="s">
        <v>286</v>
      </c>
      <c r="G14" s="3" t="s">
        <v>161</v>
      </c>
      <c r="H14" s="3" t="s">
        <v>170</v>
      </c>
      <c r="I14" s="2" t="n">
        <v>10000</v>
      </c>
      <c r="J14" s="2" t="n">
        <v>4</v>
      </c>
      <c r="K14" s="2" t="s">
        <v>80</v>
      </c>
      <c r="L14" s="2" t="n">
        <v>1</v>
      </c>
      <c r="M14" s="4" t="n">
        <f aca="false">J14*L14</f>
        <v>4</v>
      </c>
      <c r="N14" s="4" t="n">
        <f aca="false">D14*M14</f>
        <v>4</v>
      </c>
      <c r="O14" s="4" t="n">
        <f aca="false">N14*Assumptions!$B$3</f>
        <v>40000</v>
      </c>
      <c r="P14" s="3" t="s">
        <v>269</v>
      </c>
      <c r="Q14" s="5" t="s">
        <v>49</v>
      </c>
      <c r="R14" s="5" t="s">
        <v>162</v>
      </c>
      <c r="S14" s="3" t="s">
        <v>171</v>
      </c>
    </row>
    <row r="15" customFormat="false" ht="12.8" hidden="false" customHeight="false" outlineLevel="0" collapsed="false">
      <c r="A15" s="0" t="s">
        <v>287</v>
      </c>
      <c r="B15" s="0" t="s">
        <v>173</v>
      </c>
      <c r="C15" s="0" t="s">
        <v>174</v>
      </c>
      <c r="D15" s="2" t="n">
        <v>1</v>
      </c>
      <c r="E15" s="3" t="s">
        <v>175</v>
      </c>
      <c r="F15" s="3" t="s">
        <v>288</v>
      </c>
      <c r="G15" s="3" t="s">
        <v>177</v>
      </c>
      <c r="H15" s="3" t="s">
        <v>98</v>
      </c>
      <c r="I15" s="2" t="n">
        <v>10000</v>
      </c>
      <c r="J15" s="2" t="n">
        <v>0.7</v>
      </c>
      <c r="K15" s="2" t="s">
        <v>80</v>
      </c>
      <c r="L15" s="2" t="n">
        <v>1</v>
      </c>
      <c r="M15" s="4" t="n">
        <f aca="false">J15*L15</f>
        <v>0.7</v>
      </c>
      <c r="N15" s="4" t="n">
        <f aca="false">D15*M15</f>
        <v>0.7</v>
      </c>
      <c r="O15" s="4" t="n">
        <f aca="false">N15*Assumptions!$B$3</f>
        <v>7000</v>
      </c>
      <c r="P15" s="3" t="s">
        <v>231</v>
      </c>
      <c r="Q15" s="5" t="s">
        <v>49</v>
      </c>
      <c r="R15" s="5" t="s">
        <v>50</v>
      </c>
      <c r="S15" s="3" t="s">
        <v>178</v>
      </c>
    </row>
    <row r="16" customFormat="false" ht="12.8" hidden="false" customHeight="false" outlineLevel="0" collapsed="false">
      <c r="A16" s="0" t="s">
        <v>289</v>
      </c>
      <c r="B16" s="0" t="s">
        <v>180</v>
      </c>
      <c r="C16" s="0" t="s">
        <v>180</v>
      </c>
      <c r="D16" s="2" t="n">
        <v>1</v>
      </c>
      <c r="E16" s="3" t="s">
        <v>181</v>
      </c>
      <c r="F16" s="3" t="s">
        <v>182</v>
      </c>
      <c r="G16" s="3" t="s">
        <v>183</v>
      </c>
      <c r="H16" s="3" t="s">
        <v>184</v>
      </c>
      <c r="I16" s="2" t="n">
        <v>10000</v>
      </c>
      <c r="J16" s="2" t="n">
        <v>2.8</v>
      </c>
      <c r="K16" s="2" t="s">
        <v>80</v>
      </c>
      <c r="L16" s="2" t="n">
        <v>1</v>
      </c>
      <c r="M16" s="4" t="n">
        <f aca="false">J16*L16</f>
        <v>2.8</v>
      </c>
      <c r="N16" s="4" t="n">
        <f aca="false">D16*M16</f>
        <v>2.8</v>
      </c>
      <c r="O16" s="4" t="n">
        <f aca="false">N16*Assumptions!$B$3</f>
        <v>28000</v>
      </c>
      <c r="P16" s="3" t="s">
        <v>269</v>
      </c>
      <c r="Q16" s="5" t="s">
        <v>49</v>
      </c>
      <c r="R16" s="5" t="s">
        <v>50</v>
      </c>
      <c r="S16" s="3" t="s">
        <v>185</v>
      </c>
    </row>
    <row r="17" customFormat="false" ht="12.8" hidden="false" customHeight="false" outlineLevel="0" collapsed="false">
      <c r="A17" s="0" t="s">
        <v>290</v>
      </c>
      <c r="B17" s="0" t="s">
        <v>187</v>
      </c>
      <c r="C17" s="0" t="s">
        <v>188</v>
      </c>
      <c r="D17" s="2" t="n">
        <v>1</v>
      </c>
      <c r="E17" s="3" t="s">
        <v>189</v>
      </c>
      <c r="F17" s="3" t="s">
        <v>291</v>
      </c>
      <c r="G17" s="3" t="s">
        <v>191</v>
      </c>
      <c r="H17" s="3" t="s">
        <v>192</v>
      </c>
      <c r="I17" s="2" t="n">
        <v>10000</v>
      </c>
      <c r="J17" s="2" t="n">
        <v>2.5</v>
      </c>
      <c r="K17" s="2" t="s">
        <v>80</v>
      </c>
      <c r="L17" s="2" t="n">
        <v>1</v>
      </c>
      <c r="M17" s="4" t="n">
        <f aca="false">J17*L17</f>
        <v>2.5</v>
      </c>
      <c r="N17" s="4" t="n">
        <f aca="false">D17*M17</f>
        <v>2.5</v>
      </c>
      <c r="O17" s="4" t="n">
        <f aca="false">N17*Assumptions!$B$3</f>
        <v>25000</v>
      </c>
      <c r="P17" s="3" t="s">
        <v>269</v>
      </c>
      <c r="Q17" s="5" t="s">
        <v>49</v>
      </c>
      <c r="R17" s="5" t="s">
        <v>50</v>
      </c>
      <c r="S17" s="3" t="s">
        <v>193</v>
      </c>
    </row>
    <row r="18" customFormat="false" ht="12.8" hidden="false" customHeight="false" outlineLevel="0" collapsed="false">
      <c r="A18" s="0" t="s">
        <v>292</v>
      </c>
      <c r="B18" s="0" t="s">
        <v>195</v>
      </c>
      <c r="C18" s="0" t="s">
        <v>293</v>
      </c>
      <c r="D18" s="2" t="n">
        <v>1</v>
      </c>
      <c r="E18" s="3" t="s">
        <v>197</v>
      </c>
      <c r="F18" s="3" t="s">
        <v>294</v>
      </c>
      <c r="G18" s="3" t="s">
        <v>199</v>
      </c>
      <c r="H18" s="3" t="s">
        <v>98</v>
      </c>
      <c r="I18" s="2" t="n">
        <v>10000</v>
      </c>
      <c r="J18" s="2" t="n">
        <v>3</v>
      </c>
      <c r="K18" s="2" t="s">
        <v>80</v>
      </c>
      <c r="L18" s="2" t="n">
        <v>1</v>
      </c>
      <c r="M18" s="4" t="n">
        <f aca="false">J18*L18</f>
        <v>3</v>
      </c>
      <c r="N18" s="4" t="n">
        <f aca="false">D18*M18</f>
        <v>3</v>
      </c>
      <c r="O18" s="4" t="n">
        <f aca="false">N18*Assumptions!$B$3</f>
        <v>30000</v>
      </c>
      <c r="P18" s="3" t="s">
        <v>295</v>
      </c>
      <c r="Q18" s="5" t="s">
        <v>49</v>
      </c>
      <c r="R18" s="5" t="s">
        <v>50</v>
      </c>
      <c r="S18" s="3" t="s">
        <v>201</v>
      </c>
    </row>
    <row r="19" customFormat="false" ht="12.8" hidden="false" customHeight="false" outlineLevel="0" collapsed="false">
      <c r="A19" s="0" t="s">
        <v>296</v>
      </c>
      <c r="B19" s="0" t="s">
        <v>203</v>
      </c>
      <c r="C19" s="0" t="s">
        <v>204</v>
      </c>
      <c r="D19" s="2" t="n">
        <v>1</v>
      </c>
      <c r="E19" s="3" t="s">
        <v>205</v>
      </c>
      <c r="F19" s="3" t="s">
        <v>206</v>
      </c>
      <c r="G19" s="3" t="s">
        <v>203</v>
      </c>
      <c r="H19" s="3" t="s">
        <v>98</v>
      </c>
      <c r="I19" s="2" t="n">
        <v>10000</v>
      </c>
      <c r="J19" s="2" t="n">
        <v>1</v>
      </c>
      <c r="K19" s="2" t="s">
        <v>80</v>
      </c>
      <c r="L19" s="2" t="n">
        <v>1</v>
      </c>
      <c r="M19" s="4" t="n">
        <f aca="false">J19*L19</f>
        <v>1</v>
      </c>
      <c r="N19" s="4" t="n">
        <f aca="false">D19*M19</f>
        <v>1</v>
      </c>
      <c r="O19" s="4" t="n">
        <f aca="false">N19*Assumptions!$B$3</f>
        <v>10000</v>
      </c>
      <c r="P19" s="3" t="s">
        <v>231</v>
      </c>
      <c r="Q19" s="5" t="s">
        <v>49</v>
      </c>
      <c r="R19" s="5" t="s">
        <v>133</v>
      </c>
      <c r="S19" s="3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4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55"/>
  </cols>
  <sheetData>
    <row r="1" customFormat="false" ht="23.85" hidden="false" customHeight="false" outlineLevel="0" collapsed="false">
      <c r="A1" s="1" t="s">
        <v>297</v>
      </c>
      <c r="B1" s="1" t="s">
        <v>21</v>
      </c>
      <c r="C1" s="1" t="s">
        <v>22</v>
      </c>
      <c r="D1" s="1" t="s">
        <v>23</v>
      </c>
      <c r="E1" s="1" t="s">
        <v>25</v>
      </c>
      <c r="F1" s="1" t="s">
        <v>26</v>
      </c>
      <c r="G1" s="1" t="s">
        <v>30</v>
      </c>
      <c r="H1" s="1" t="s">
        <v>31</v>
      </c>
      <c r="I1" s="1" t="s">
        <v>36</v>
      </c>
      <c r="J1" s="1" t="s">
        <v>37</v>
      </c>
      <c r="K1" s="1" t="s">
        <v>38</v>
      </c>
      <c r="L1" s="1" t="s">
        <v>39</v>
      </c>
    </row>
    <row r="2" customFormat="false" ht="12.8" hidden="false" customHeight="false" outlineLevel="0" collapsed="false">
      <c r="A2" s="0" t="s">
        <v>298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n">
        <v>5.2</v>
      </c>
      <c r="H2" s="0" t="s">
        <v>47</v>
      </c>
      <c r="I2" s="0" t="s">
        <v>48</v>
      </c>
      <c r="J2" s="0" t="s">
        <v>49</v>
      </c>
      <c r="K2" s="0" t="s">
        <v>50</v>
      </c>
      <c r="L2" s="0" t="s">
        <v>51</v>
      </c>
    </row>
    <row r="3" customFormat="false" ht="12.8" hidden="false" customHeight="false" outlineLevel="0" collapsed="false">
      <c r="A3" s="0" t="s">
        <v>298</v>
      </c>
      <c r="B3" s="0" t="s">
        <v>52</v>
      </c>
      <c r="C3" s="0" t="s">
        <v>53</v>
      </c>
      <c r="D3" s="0" t="s">
        <v>54</v>
      </c>
      <c r="E3" s="0" t="s">
        <v>55</v>
      </c>
      <c r="F3" s="0" t="s">
        <v>56</v>
      </c>
      <c r="G3" s="0" t="n">
        <v>1</v>
      </c>
      <c r="H3" s="0" t="s">
        <v>47</v>
      </c>
      <c r="I3" s="0" t="s">
        <v>59</v>
      </c>
      <c r="J3" s="0" t="s">
        <v>60</v>
      </c>
      <c r="K3" s="0" t="s">
        <v>61</v>
      </c>
      <c r="L3" s="0" t="s">
        <v>62</v>
      </c>
    </row>
    <row r="4" customFormat="false" ht="12.8" hidden="false" customHeight="false" outlineLevel="0" collapsed="false">
      <c r="A4" s="0" t="s">
        <v>298</v>
      </c>
      <c r="B4" s="0" t="s">
        <v>73</v>
      </c>
      <c r="C4" s="0" t="s">
        <v>74</v>
      </c>
      <c r="D4" s="0" t="s">
        <v>75</v>
      </c>
      <c r="E4" s="0" t="s">
        <v>76</v>
      </c>
      <c r="F4" s="0" t="s">
        <v>77</v>
      </c>
      <c r="G4" s="0" t="n">
        <v>1.5</v>
      </c>
      <c r="H4" s="0" t="s">
        <v>80</v>
      </c>
      <c r="I4" s="0" t="s">
        <v>81</v>
      </c>
      <c r="J4" s="0" t="s">
        <v>49</v>
      </c>
      <c r="K4" s="0" t="s">
        <v>50</v>
      </c>
      <c r="L4" s="0" t="s">
        <v>82</v>
      </c>
    </row>
    <row r="5" customFormat="false" ht="12.8" hidden="false" customHeight="false" outlineLevel="0" collapsed="false">
      <c r="A5" s="0" t="s">
        <v>298</v>
      </c>
      <c r="B5" s="0" t="s">
        <v>83</v>
      </c>
      <c r="C5" s="0" t="s">
        <v>84</v>
      </c>
      <c r="D5" s="0" t="s">
        <v>85</v>
      </c>
      <c r="E5" s="0" t="s">
        <v>86</v>
      </c>
      <c r="F5" s="0" t="s">
        <v>87</v>
      </c>
      <c r="G5" s="0" t="n">
        <v>0.1454</v>
      </c>
      <c r="H5" s="0" t="s">
        <v>47</v>
      </c>
      <c r="I5" s="0" t="s">
        <v>90</v>
      </c>
      <c r="J5" s="0" t="s">
        <v>60</v>
      </c>
      <c r="K5" s="0" t="s">
        <v>61</v>
      </c>
      <c r="L5" s="0" t="s">
        <v>91</v>
      </c>
    </row>
    <row r="6" customFormat="false" ht="12.8" hidden="false" customHeight="false" outlineLevel="0" collapsed="false">
      <c r="A6" s="0" t="s">
        <v>298</v>
      </c>
      <c r="B6" s="0" t="s">
        <v>92</v>
      </c>
      <c r="C6" s="0" t="s">
        <v>93</v>
      </c>
      <c r="D6" s="0" t="s">
        <v>94</v>
      </c>
      <c r="E6" s="0" t="s">
        <v>95</v>
      </c>
      <c r="F6" s="0" t="s">
        <v>96</v>
      </c>
      <c r="G6" s="0" t="n">
        <v>0.8</v>
      </c>
      <c r="H6" s="0" t="s">
        <v>80</v>
      </c>
      <c r="I6" s="0" t="s">
        <v>81</v>
      </c>
      <c r="J6" s="0" t="s">
        <v>49</v>
      </c>
      <c r="K6" s="0" t="s">
        <v>50</v>
      </c>
      <c r="L6" s="0" t="s">
        <v>99</v>
      </c>
    </row>
    <row r="7" customFormat="false" ht="12.8" hidden="false" customHeight="false" outlineLevel="0" collapsed="false">
      <c r="A7" s="0" t="s">
        <v>298</v>
      </c>
      <c r="B7" s="0" t="s">
        <v>108</v>
      </c>
      <c r="C7" s="0" t="s">
        <v>109</v>
      </c>
      <c r="D7" s="0" t="s">
        <v>110</v>
      </c>
      <c r="E7" s="0" t="s">
        <v>111</v>
      </c>
      <c r="F7" s="0" t="s">
        <v>112</v>
      </c>
      <c r="G7" s="0" t="n">
        <v>4.5</v>
      </c>
      <c r="H7" s="0" t="s">
        <v>80</v>
      </c>
      <c r="I7" s="0" t="s">
        <v>115</v>
      </c>
      <c r="J7" s="0" t="s">
        <v>49</v>
      </c>
      <c r="K7" s="0" t="s">
        <v>50</v>
      </c>
      <c r="L7" s="0" t="s">
        <v>116</v>
      </c>
    </row>
    <row r="8" customFormat="false" ht="12.8" hidden="false" customHeight="false" outlineLevel="0" collapsed="false">
      <c r="A8" s="0" t="s">
        <v>298</v>
      </c>
      <c r="B8" s="0" t="s">
        <v>117</v>
      </c>
      <c r="C8" s="0" t="s">
        <v>118</v>
      </c>
      <c r="D8" s="0" t="s">
        <v>119</v>
      </c>
      <c r="E8" s="0" t="s">
        <v>120</v>
      </c>
      <c r="F8" s="0" t="s">
        <v>121</v>
      </c>
      <c r="G8" s="0" t="n">
        <v>1</v>
      </c>
      <c r="H8" s="0" t="s">
        <v>47</v>
      </c>
      <c r="I8" s="0" t="s">
        <v>124</v>
      </c>
      <c r="J8" s="0" t="s">
        <v>60</v>
      </c>
      <c r="K8" s="0" t="s">
        <v>61</v>
      </c>
      <c r="L8" s="0" t="s">
        <v>125</v>
      </c>
    </row>
    <row r="9" customFormat="false" ht="12.8" hidden="false" customHeight="false" outlineLevel="0" collapsed="false">
      <c r="A9" s="0" t="s">
        <v>298</v>
      </c>
      <c r="B9" s="0" t="s">
        <v>126</v>
      </c>
      <c r="C9" s="0" t="s">
        <v>127</v>
      </c>
      <c r="D9" s="0" t="s">
        <v>128</v>
      </c>
      <c r="E9" s="0" t="s">
        <v>129</v>
      </c>
      <c r="F9" s="0" t="s">
        <v>130</v>
      </c>
      <c r="G9" s="0" t="n">
        <v>0.35</v>
      </c>
      <c r="H9" s="0" t="s">
        <v>80</v>
      </c>
      <c r="I9" s="0" t="s">
        <v>132</v>
      </c>
      <c r="J9" s="0" t="s">
        <v>60</v>
      </c>
      <c r="K9" s="0" t="s">
        <v>133</v>
      </c>
      <c r="L9" s="0" t="s">
        <v>134</v>
      </c>
    </row>
    <row r="10" customFormat="false" ht="12.8" hidden="false" customHeight="false" outlineLevel="0" collapsed="false">
      <c r="A10" s="0" t="s">
        <v>298</v>
      </c>
      <c r="B10" s="0" t="s">
        <v>135</v>
      </c>
      <c r="C10" s="0" t="s">
        <v>136</v>
      </c>
      <c r="D10" s="0" t="s">
        <v>137</v>
      </c>
      <c r="E10" s="0" t="s">
        <v>138</v>
      </c>
      <c r="F10" s="0" t="s">
        <v>139</v>
      </c>
      <c r="G10" s="0" t="n">
        <v>0.12</v>
      </c>
      <c r="H10" s="0" t="s">
        <v>80</v>
      </c>
      <c r="I10" s="0" t="s">
        <v>132</v>
      </c>
      <c r="J10" s="0" t="s">
        <v>60</v>
      </c>
      <c r="K10" s="0" t="s">
        <v>133</v>
      </c>
      <c r="L10" s="0" t="s">
        <v>141</v>
      </c>
    </row>
    <row r="11" customFormat="false" ht="12.8" hidden="false" customHeight="false" outlineLevel="0" collapsed="false">
      <c r="A11" s="0" t="s">
        <v>298</v>
      </c>
      <c r="B11" s="0" t="s">
        <v>142</v>
      </c>
      <c r="C11" s="0" t="s">
        <v>143</v>
      </c>
      <c r="D11" s="0" t="s">
        <v>144</v>
      </c>
      <c r="E11" s="0" t="s">
        <v>145</v>
      </c>
      <c r="F11" s="0" t="s">
        <v>146</v>
      </c>
      <c r="G11" s="0" t="n">
        <v>0.18</v>
      </c>
      <c r="H11" s="0" t="s">
        <v>80</v>
      </c>
      <c r="I11" s="0" t="s">
        <v>81</v>
      </c>
      <c r="J11" s="0" t="s">
        <v>49</v>
      </c>
      <c r="K11" s="0" t="s">
        <v>133</v>
      </c>
      <c r="L11" s="0" t="s">
        <v>148</v>
      </c>
    </row>
    <row r="12" customFormat="false" ht="12.8" hidden="false" customHeight="false" outlineLevel="0" collapsed="false">
      <c r="A12" s="0" t="s">
        <v>298</v>
      </c>
      <c r="B12" s="0" t="s">
        <v>149</v>
      </c>
      <c r="C12" s="0" t="s">
        <v>150</v>
      </c>
      <c r="D12" s="0" t="s">
        <v>151</v>
      </c>
      <c r="E12" s="0" t="s">
        <v>152</v>
      </c>
      <c r="F12" s="0" t="s">
        <v>153</v>
      </c>
      <c r="G12" s="0" t="n">
        <v>0.6</v>
      </c>
      <c r="H12" s="0" t="s">
        <v>80</v>
      </c>
      <c r="I12" s="0" t="s">
        <v>81</v>
      </c>
      <c r="J12" s="0" t="s">
        <v>60</v>
      </c>
      <c r="K12" s="0" t="s">
        <v>133</v>
      </c>
      <c r="L12" s="0" t="s">
        <v>155</v>
      </c>
    </row>
    <row r="13" customFormat="false" ht="12.8" hidden="false" customHeight="false" outlineLevel="0" collapsed="false">
      <c r="A13" s="0" t="s">
        <v>298</v>
      </c>
      <c r="B13" s="0" t="s">
        <v>156</v>
      </c>
      <c r="C13" s="0" t="s">
        <v>157</v>
      </c>
      <c r="D13" s="0" t="s">
        <v>158</v>
      </c>
      <c r="E13" s="0" t="s">
        <v>159</v>
      </c>
      <c r="F13" s="0" t="s">
        <v>160</v>
      </c>
      <c r="G13" s="0" t="n">
        <v>6</v>
      </c>
      <c r="H13" s="0" t="s">
        <v>80</v>
      </c>
      <c r="I13" s="0" t="s">
        <v>132</v>
      </c>
      <c r="J13" s="0" t="s">
        <v>49</v>
      </c>
      <c r="K13" s="0" t="s">
        <v>162</v>
      </c>
      <c r="L13" s="0" t="s">
        <v>163</v>
      </c>
    </row>
    <row r="14" customFormat="false" ht="12.8" hidden="false" customHeight="false" outlineLevel="0" collapsed="false">
      <c r="A14" s="0" t="s">
        <v>298</v>
      </c>
      <c r="B14" s="0" t="s">
        <v>164</v>
      </c>
      <c r="C14" s="0" t="s">
        <v>165</v>
      </c>
      <c r="D14" s="0" t="s">
        <v>166</v>
      </c>
      <c r="E14" s="0" t="s">
        <v>167</v>
      </c>
      <c r="F14" s="0" t="s">
        <v>168</v>
      </c>
      <c r="G14" s="0" t="n">
        <v>1.2</v>
      </c>
      <c r="H14" s="0" t="s">
        <v>80</v>
      </c>
      <c r="I14" s="0" t="s">
        <v>132</v>
      </c>
      <c r="J14" s="0" t="s">
        <v>49</v>
      </c>
      <c r="K14" s="0" t="s">
        <v>162</v>
      </c>
      <c r="L14" s="0" t="s">
        <v>171</v>
      </c>
    </row>
    <row r="15" customFormat="false" ht="12.8" hidden="false" customHeight="false" outlineLevel="0" collapsed="false">
      <c r="A15" s="0" t="s">
        <v>298</v>
      </c>
      <c r="B15" s="0" t="s">
        <v>172</v>
      </c>
      <c r="C15" s="0" t="s">
        <v>173</v>
      </c>
      <c r="D15" s="0" t="s">
        <v>174</v>
      </c>
      <c r="E15" s="0" t="s">
        <v>175</v>
      </c>
      <c r="F15" s="0" t="s">
        <v>176</v>
      </c>
      <c r="G15" s="0" t="n">
        <v>0.8</v>
      </c>
      <c r="H15" s="0" t="s">
        <v>80</v>
      </c>
      <c r="I15" s="0" t="s">
        <v>81</v>
      </c>
      <c r="J15" s="0" t="s">
        <v>49</v>
      </c>
      <c r="K15" s="0" t="s">
        <v>50</v>
      </c>
      <c r="L15" s="0" t="s">
        <v>178</v>
      </c>
    </row>
    <row r="16" customFormat="false" ht="12.8" hidden="false" customHeight="false" outlineLevel="0" collapsed="false">
      <c r="A16" s="0" t="s">
        <v>298</v>
      </c>
      <c r="B16" s="0" t="s">
        <v>179</v>
      </c>
      <c r="C16" s="0" t="s">
        <v>180</v>
      </c>
      <c r="D16" s="0" t="s">
        <v>180</v>
      </c>
      <c r="E16" s="0" t="s">
        <v>181</v>
      </c>
      <c r="F16" s="0" t="s">
        <v>182</v>
      </c>
      <c r="G16" s="0" t="n">
        <v>3</v>
      </c>
      <c r="H16" s="0" t="s">
        <v>80</v>
      </c>
      <c r="I16" s="0" t="s">
        <v>132</v>
      </c>
      <c r="J16" s="0" t="s">
        <v>49</v>
      </c>
      <c r="K16" s="0" t="s">
        <v>50</v>
      </c>
      <c r="L16" s="0" t="s">
        <v>185</v>
      </c>
    </row>
    <row r="17" customFormat="false" ht="12.8" hidden="false" customHeight="false" outlineLevel="0" collapsed="false">
      <c r="A17" s="0" t="s">
        <v>298</v>
      </c>
      <c r="B17" s="0" t="s">
        <v>186</v>
      </c>
      <c r="C17" s="0" t="s">
        <v>187</v>
      </c>
      <c r="D17" s="0" t="s">
        <v>188</v>
      </c>
      <c r="E17" s="0" t="s">
        <v>189</v>
      </c>
      <c r="F17" s="0" t="s">
        <v>190</v>
      </c>
      <c r="G17" s="0" t="n">
        <v>2.8</v>
      </c>
      <c r="H17" s="0" t="s">
        <v>80</v>
      </c>
      <c r="I17" s="0" t="s">
        <v>132</v>
      </c>
      <c r="J17" s="0" t="s">
        <v>49</v>
      </c>
      <c r="K17" s="0" t="s">
        <v>50</v>
      </c>
      <c r="L17" s="0" t="s">
        <v>193</v>
      </c>
    </row>
    <row r="18" customFormat="false" ht="12.8" hidden="false" customHeight="false" outlineLevel="0" collapsed="false">
      <c r="A18" s="0" t="s">
        <v>298</v>
      </c>
      <c r="B18" s="0" t="s">
        <v>194</v>
      </c>
      <c r="C18" s="0" t="s">
        <v>195</v>
      </c>
      <c r="D18" s="0" t="s">
        <v>196</v>
      </c>
      <c r="E18" s="0" t="s">
        <v>197</v>
      </c>
      <c r="F18" s="0" t="s">
        <v>198</v>
      </c>
      <c r="G18" s="0" t="n">
        <v>3.5</v>
      </c>
      <c r="H18" s="0" t="s">
        <v>80</v>
      </c>
      <c r="I18" s="0" t="s">
        <v>200</v>
      </c>
      <c r="J18" s="0" t="s">
        <v>49</v>
      </c>
      <c r="K18" s="0" t="s">
        <v>50</v>
      </c>
      <c r="L18" s="0" t="s">
        <v>201</v>
      </c>
    </row>
    <row r="19" customFormat="false" ht="12.8" hidden="false" customHeight="false" outlineLevel="0" collapsed="false">
      <c r="A19" s="0" t="s">
        <v>298</v>
      </c>
      <c r="B19" s="0" t="s">
        <v>202</v>
      </c>
      <c r="C19" s="0" t="s">
        <v>203</v>
      </c>
      <c r="D19" s="0" t="s">
        <v>204</v>
      </c>
      <c r="E19" s="0" t="s">
        <v>205</v>
      </c>
      <c r="F19" s="0" t="s">
        <v>206</v>
      </c>
      <c r="G19" s="0" t="n">
        <v>1</v>
      </c>
      <c r="H19" s="0" t="s">
        <v>80</v>
      </c>
      <c r="I19" s="0" t="s">
        <v>81</v>
      </c>
      <c r="J19" s="0" t="s">
        <v>49</v>
      </c>
      <c r="K19" s="0" t="s">
        <v>133</v>
      </c>
      <c r="L19" s="0" t="s">
        <v>207</v>
      </c>
    </row>
    <row r="20" customFormat="false" ht="12.8" hidden="false" customHeight="false" outlineLevel="0" collapsed="false">
      <c r="A20" s="0" t="s">
        <v>299</v>
      </c>
      <c r="B20" s="0" t="s">
        <v>216</v>
      </c>
      <c r="C20" s="0" t="s">
        <v>53</v>
      </c>
      <c r="D20" s="0" t="s">
        <v>217</v>
      </c>
      <c r="E20" s="0" t="s">
        <v>55</v>
      </c>
      <c r="F20" s="0" t="s">
        <v>56</v>
      </c>
      <c r="G20" s="0" t="n">
        <v>1</v>
      </c>
      <c r="H20" s="0" t="s">
        <v>47</v>
      </c>
      <c r="I20" s="0" t="s">
        <v>59</v>
      </c>
      <c r="J20" s="0" t="s">
        <v>60</v>
      </c>
      <c r="K20" s="0" t="s">
        <v>61</v>
      </c>
      <c r="L20" s="0" t="s">
        <v>62</v>
      </c>
    </row>
    <row r="21" customFormat="false" ht="12.8" hidden="false" customHeight="false" outlineLevel="0" collapsed="false">
      <c r="A21" s="0" t="s">
        <v>299</v>
      </c>
      <c r="B21" s="0" t="s">
        <v>218</v>
      </c>
      <c r="C21" s="0" t="s">
        <v>74</v>
      </c>
      <c r="D21" s="0" t="s">
        <v>75</v>
      </c>
      <c r="E21" s="0" t="s">
        <v>219</v>
      </c>
      <c r="F21" s="0" t="s">
        <v>220</v>
      </c>
      <c r="G21" s="0" t="n">
        <v>2.0373</v>
      </c>
      <c r="H21" s="0" t="s">
        <v>47</v>
      </c>
      <c r="I21" s="0" t="s">
        <v>223</v>
      </c>
      <c r="J21" s="0" t="s">
        <v>60</v>
      </c>
      <c r="K21" s="0" t="s">
        <v>71</v>
      </c>
      <c r="L21" s="0" t="s">
        <v>224</v>
      </c>
    </row>
    <row r="22" customFormat="false" ht="12.8" hidden="false" customHeight="false" outlineLevel="0" collapsed="false">
      <c r="A22" s="0" t="s">
        <v>299</v>
      </c>
      <c r="B22" s="0" t="s">
        <v>225</v>
      </c>
      <c r="C22" s="0" t="s">
        <v>226</v>
      </c>
      <c r="D22" s="0" t="s">
        <v>227</v>
      </c>
      <c r="E22" s="0" t="s">
        <v>228</v>
      </c>
      <c r="F22" s="0" t="s">
        <v>229</v>
      </c>
      <c r="G22" s="0" t="n">
        <v>0.5</v>
      </c>
      <c r="H22" s="0" t="s">
        <v>80</v>
      </c>
      <c r="I22" s="0" t="s">
        <v>231</v>
      </c>
      <c r="J22" s="0" t="s">
        <v>49</v>
      </c>
      <c r="K22" s="0" t="s">
        <v>50</v>
      </c>
      <c r="L22" s="0" t="s">
        <v>232</v>
      </c>
    </row>
    <row r="23" customFormat="false" ht="12.8" hidden="false" customHeight="false" outlineLevel="0" collapsed="false">
      <c r="A23" s="0" t="s">
        <v>299</v>
      </c>
      <c r="B23" s="0" t="s">
        <v>233</v>
      </c>
      <c r="C23" s="0" t="s">
        <v>101</v>
      </c>
      <c r="D23" s="0" t="s">
        <v>234</v>
      </c>
      <c r="E23" s="0" t="s">
        <v>234</v>
      </c>
      <c r="F23" s="0" t="s">
        <v>103</v>
      </c>
      <c r="G23" s="0" t="n">
        <v>10</v>
      </c>
      <c r="H23" s="0" t="s">
        <v>80</v>
      </c>
      <c r="I23" s="0" t="s">
        <v>237</v>
      </c>
      <c r="J23" s="0" t="s">
        <v>49</v>
      </c>
      <c r="K23" s="0" t="s">
        <v>50</v>
      </c>
      <c r="L23" s="0" t="s">
        <v>238</v>
      </c>
    </row>
    <row r="24" customFormat="false" ht="12.8" hidden="false" customHeight="false" outlineLevel="0" collapsed="false">
      <c r="A24" s="0" t="s">
        <v>299</v>
      </c>
      <c r="B24" s="0" t="s">
        <v>248</v>
      </c>
      <c r="C24" s="0" t="s">
        <v>109</v>
      </c>
      <c r="D24" s="0" t="s">
        <v>42</v>
      </c>
      <c r="E24" s="0" t="s">
        <v>249</v>
      </c>
      <c r="F24" s="0" t="s">
        <v>250</v>
      </c>
      <c r="G24" s="0" t="n">
        <v>3.5</v>
      </c>
      <c r="H24" s="0" t="s">
        <v>80</v>
      </c>
      <c r="I24" s="0" t="s">
        <v>251</v>
      </c>
      <c r="J24" s="0" t="s">
        <v>49</v>
      </c>
      <c r="K24" s="0" t="s">
        <v>50</v>
      </c>
      <c r="L24" s="0" t="s">
        <v>252</v>
      </c>
    </row>
    <row r="25" customFormat="false" ht="12.8" hidden="false" customHeight="false" outlineLevel="0" collapsed="false">
      <c r="A25" s="0" t="s">
        <v>299</v>
      </c>
      <c r="B25" s="0" t="s">
        <v>253</v>
      </c>
      <c r="C25" s="0" t="s">
        <v>118</v>
      </c>
      <c r="D25" s="0" t="s">
        <v>119</v>
      </c>
      <c r="E25" s="0" t="s">
        <v>254</v>
      </c>
      <c r="F25" s="0" t="s">
        <v>255</v>
      </c>
      <c r="G25" s="0" t="n">
        <v>4</v>
      </c>
      <c r="H25" s="0" t="s">
        <v>80</v>
      </c>
      <c r="I25" s="0" t="s">
        <v>257</v>
      </c>
      <c r="J25" s="0" t="s">
        <v>60</v>
      </c>
      <c r="K25" s="0" t="s">
        <v>61</v>
      </c>
      <c r="L25" s="0" t="s">
        <v>258</v>
      </c>
    </row>
    <row r="26" customFormat="false" ht="12.8" hidden="false" customHeight="false" outlineLevel="0" collapsed="false">
      <c r="A26" s="0" t="s">
        <v>299</v>
      </c>
      <c r="B26" s="0" t="s">
        <v>259</v>
      </c>
      <c r="C26" s="0" t="s">
        <v>260</v>
      </c>
      <c r="D26" s="0" t="s">
        <v>261</v>
      </c>
      <c r="E26" s="0" t="s">
        <v>262</v>
      </c>
      <c r="F26" s="0" t="s">
        <v>263</v>
      </c>
      <c r="G26" s="0" t="n">
        <v>4.5</v>
      </c>
      <c r="H26" s="0" t="s">
        <v>80</v>
      </c>
      <c r="I26" s="0" t="s">
        <v>231</v>
      </c>
      <c r="J26" s="0" t="s">
        <v>49</v>
      </c>
      <c r="K26" s="0" t="s">
        <v>50</v>
      </c>
      <c r="L26" s="0" t="s">
        <v>265</v>
      </c>
    </row>
    <row r="27" customFormat="false" ht="12.8" hidden="false" customHeight="false" outlineLevel="0" collapsed="false">
      <c r="A27" s="0" t="s">
        <v>299</v>
      </c>
      <c r="B27" s="0" t="s">
        <v>266</v>
      </c>
      <c r="C27" s="0" t="s">
        <v>136</v>
      </c>
      <c r="D27" s="0" t="s">
        <v>267</v>
      </c>
      <c r="E27" s="0" t="s">
        <v>138</v>
      </c>
      <c r="F27" s="0" t="s">
        <v>268</v>
      </c>
      <c r="G27" s="0" t="n">
        <v>0.12</v>
      </c>
      <c r="H27" s="0" t="s">
        <v>80</v>
      </c>
      <c r="I27" s="0" t="s">
        <v>269</v>
      </c>
      <c r="J27" s="0" t="s">
        <v>60</v>
      </c>
      <c r="K27" s="0" t="s">
        <v>133</v>
      </c>
      <c r="L27" s="0" t="s">
        <v>270</v>
      </c>
    </row>
    <row r="28" customFormat="false" ht="12.8" hidden="false" customHeight="false" outlineLevel="0" collapsed="false">
      <c r="A28" s="0" t="s">
        <v>299</v>
      </c>
      <c r="B28" s="0" t="s">
        <v>271</v>
      </c>
      <c r="C28" s="0" t="s">
        <v>272</v>
      </c>
      <c r="D28" s="0" t="s">
        <v>273</v>
      </c>
      <c r="E28" s="0" t="s">
        <v>274</v>
      </c>
      <c r="F28" s="0" t="s">
        <v>275</v>
      </c>
      <c r="G28" s="0" t="n">
        <v>0.12</v>
      </c>
      <c r="H28" s="0" t="s">
        <v>80</v>
      </c>
      <c r="I28" s="0" t="s">
        <v>231</v>
      </c>
      <c r="J28" s="0" t="s">
        <v>49</v>
      </c>
      <c r="K28" s="0" t="s">
        <v>133</v>
      </c>
      <c r="L28" s="0" t="s">
        <v>148</v>
      </c>
    </row>
    <row r="29" customFormat="false" ht="12.8" hidden="false" customHeight="false" outlineLevel="0" collapsed="false">
      <c r="A29" s="0" t="s">
        <v>299</v>
      </c>
      <c r="B29" s="0" t="s">
        <v>276</v>
      </c>
      <c r="C29" s="0" t="s">
        <v>150</v>
      </c>
      <c r="D29" s="0" t="s">
        <v>277</v>
      </c>
      <c r="E29" s="0" t="s">
        <v>278</v>
      </c>
      <c r="F29" s="0" t="s">
        <v>279</v>
      </c>
      <c r="G29" s="0" t="n">
        <v>0.35</v>
      </c>
      <c r="H29" s="0" t="s">
        <v>80</v>
      </c>
      <c r="I29" s="0" t="s">
        <v>231</v>
      </c>
      <c r="J29" s="0" t="s">
        <v>60</v>
      </c>
      <c r="K29" s="0" t="s">
        <v>133</v>
      </c>
      <c r="L29" s="0" t="s">
        <v>281</v>
      </c>
    </row>
    <row r="30" customFormat="false" ht="12.8" hidden="false" customHeight="false" outlineLevel="0" collapsed="false">
      <c r="A30" s="0" t="s">
        <v>299</v>
      </c>
      <c r="B30" s="0" t="s">
        <v>282</v>
      </c>
      <c r="C30" s="0" t="s">
        <v>283</v>
      </c>
      <c r="D30" s="0" t="s">
        <v>284</v>
      </c>
      <c r="E30" s="0" t="s">
        <v>285</v>
      </c>
      <c r="F30" s="0" t="s">
        <v>286</v>
      </c>
      <c r="G30" s="0" t="n">
        <v>4</v>
      </c>
      <c r="H30" s="0" t="s">
        <v>80</v>
      </c>
      <c r="I30" s="0" t="s">
        <v>269</v>
      </c>
      <c r="J30" s="0" t="s">
        <v>49</v>
      </c>
      <c r="K30" s="0" t="s">
        <v>162</v>
      </c>
      <c r="L30" s="0" t="s">
        <v>171</v>
      </c>
    </row>
    <row r="31" customFormat="false" ht="12.8" hidden="false" customHeight="false" outlineLevel="0" collapsed="false">
      <c r="A31" s="0" t="s">
        <v>299</v>
      </c>
      <c r="B31" s="0" t="s">
        <v>287</v>
      </c>
      <c r="C31" s="0" t="s">
        <v>173</v>
      </c>
      <c r="D31" s="0" t="s">
        <v>174</v>
      </c>
      <c r="E31" s="0" t="s">
        <v>175</v>
      </c>
      <c r="F31" s="0" t="s">
        <v>288</v>
      </c>
      <c r="G31" s="0" t="n">
        <v>0.7</v>
      </c>
      <c r="H31" s="0" t="s">
        <v>80</v>
      </c>
      <c r="I31" s="0" t="s">
        <v>231</v>
      </c>
      <c r="J31" s="0" t="s">
        <v>49</v>
      </c>
      <c r="K31" s="0" t="s">
        <v>50</v>
      </c>
      <c r="L31" s="0" t="s">
        <v>178</v>
      </c>
    </row>
    <row r="32" customFormat="false" ht="12.8" hidden="false" customHeight="false" outlineLevel="0" collapsed="false">
      <c r="A32" s="0" t="s">
        <v>299</v>
      </c>
      <c r="B32" s="0" t="s">
        <v>289</v>
      </c>
      <c r="C32" s="0" t="s">
        <v>180</v>
      </c>
      <c r="D32" s="0" t="s">
        <v>180</v>
      </c>
      <c r="E32" s="0" t="s">
        <v>181</v>
      </c>
      <c r="F32" s="0" t="s">
        <v>182</v>
      </c>
      <c r="G32" s="0" t="n">
        <v>2.8</v>
      </c>
      <c r="H32" s="0" t="s">
        <v>80</v>
      </c>
      <c r="I32" s="0" t="s">
        <v>269</v>
      </c>
      <c r="J32" s="0" t="s">
        <v>49</v>
      </c>
      <c r="K32" s="0" t="s">
        <v>50</v>
      </c>
      <c r="L32" s="0" t="s">
        <v>185</v>
      </c>
    </row>
    <row r="33" customFormat="false" ht="12.8" hidden="false" customHeight="false" outlineLevel="0" collapsed="false">
      <c r="A33" s="0" t="s">
        <v>299</v>
      </c>
      <c r="B33" s="0" t="s">
        <v>290</v>
      </c>
      <c r="C33" s="0" t="s">
        <v>187</v>
      </c>
      <c r="D33" s="0" t="s">
        <v>188</v>
      </c>
      <c r="E33" s="0" t="s">
        <v>189</v>
      </c>
      <c r="F33" s="0" t="s">
        <v>291</v>
      </c>
      <c r="G33" s="0" t="n">
        <v>2.5</v>
      </c>
      <c r="H33" s="0" t="s">
        <v>80</v>
      </c>
      <c r="I33" s="0" t="s">
        <v>269</v>
      </c>
      <c r="J33" s="0" t="s">
        <v>49</v>
      </c>
      <c r="K33" s="0" t="s">
        <v>50</v>
      </c>
      <c r="L33" s="0" t="s">
        <v>193</v>
      </c>
    </row>
    <row r="34" customFormat="false" ht="12.8" hidden="false" customHeight="false" outlineLevel="0" collapsed="false">
      <c r="A34" s="0" t="s">
        <v>299</v>
      </c>
      <c r="B34" s="0" t="s">
        <v>292</v>
      </c>
      <c r="C34" s="0" t="s">
        <v>195</v>
      </c>
      <c r="D34" s="0" t="s">
        <v>293</v>
      </c>
      <c r="E34" s="0" t="s">
        <v>197</v>
      </c>
      <c r="F34" s="0" t="s">
        <v>294</v>
      </c>
      <c r="G34" s="0" t="n">
        <v>3</v>
      </c>
      <c r="H34" s="0" t="s">
        <v>80</v>
      </c>
      <c r="I34" s="0" t="s">
        <v>295</v>
      </c>
      <c r="J34" s="0" t="s">
        <v>49</v>
      </c>
      <c r="K34" s="0" t="s">
        <v>50</v>
      </c>
      <c r="L34" s="0" t="s">
        <v>201</v>
      </c>
    </row>
    <row r="35" customFormat="false" ht="12.8" hidden="false" customHeight="false" outlineLevel="0" collapsed="false">
      <c r="A35" s="0" t="s">
        <v>299</v>
      </c>
      <c r="B35" s="0" t="s">
        <v>296</v>
      </c>
      <c r="C35" s="0" t="s">
        <v>203</v>
      </c>
      <c r="D35" s="0" t="s">
        <v>204</v>
      </c>
      <c r="E35" s="0" t="s">
        <v>205</v>
      </c>
      <c r="F35" s="0" t="s">
        <v>206</v>
      </c>
      <c r="G35" s="0" t="n">
        <v>1</v>
      </c>
      <c r="H35" s="0" t="s">
        <v>80</v>
      </c>
      <c r="I35" s="0" t="s">
        <v>231</v>
      </c>
      <c r="J35" s="0" t="s">
        <v>49</v>
      </c>
      <c r="K35" s="0" t="s">
        <v>133</v>
      </c>
      <c r="L35" s="0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4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55"/>
  </cols>
  <sheetData>
    <row r="1" customFormat="false" ht="23.85" hidden="false" customHeight="false" outlineLevel="0" collapsed="false">
      <c r="A1" s="1" t="s">
        <v>300</v>
      </c>
      <c r="B1" s="1" t="s">
        <v>301</v>
      </c>
      <c r="C1" s="1" t="s">
        <v>302</v>
      </c>
      <c r="D1" s="1" t="s">
        <v>303</v>
      </c>
    </row>
    <row r="2" customFormat="false" ht="12.8" hidden="false" customHeight="false" outlineLevel="0" collapsed="false">
      <c r="A2" s="0" t="s">
        <v>304</v>
      </c>
      <c r="B2" s="0" t="s">
        <v>305</v>
      </c>
      <c r="C2" s="0" t="s">
        <v>214</v>
      </c>
      <c r="D2" s="0" t="s">
        <v>306</v>
      </c>
    </row>
    <row r="3" customFormat="false" ht="12.8" hidden="false" customHeight="false" outlineLevel="0" collapsed="false">
      <c r="A3" s="0" t="s">
        <v>307</v>
      </c>
      <c r="B3" s="0" t="s">
        <v>308</v>
      </c>
      <c r="C3" s="0" t="s">
        <v>69</v>
      </c>
      <c r="D3" s="0" t="s">
        <v>309</v>
      </c>
    </row>
    <row r="4" customFormat="false" ht="12.8" hidden="false" customHeight="false" outlineLevel="0" collapsed="false">
      <c r="A4" s="0" t="s">
        <v>310</v>
      </c>
      <c r="B4" s="0" t="s">
        <v>311</v>
      </c>
      <c r="C4" s="0" t="s">
        <v>106</v>
      </c>
      <c r="D4" s="0" t="s">
        <v>312</v>
      </c>
    </row>
    <row r="5" customFormat="false" ht="12.8" hidden="false" customHeight="false" outlineLevel="0" collapsed="false">
      <c r="A5" s="0" t="s">
        <v>313</v>
      </c>
      <c r="B5" s="0" t="s">
        <v>314</v>
      </c>
      <c r="C5" s="0" t="s">
        <v>246</v>
      </c>
      <c r="D5" s="0" t="s">
        <v>315</v>
      </c>
    </row>
    <row r="6" customFormat="false" ht="12.8" hidden="false" customHeight="false" outlineLevel="0" collapsed="false">
      <c r="A6" s="0" t="s">
        <v>316</v>
      </c>
      <c r="B6" s="0" t="s">
        <v>317</v>
      </c>
      <c r="C6" s="0" t="s">
        <v>223</v>
      </c>
      <c r="D6" s="0" t="s">
        <v>318</v>
      </c>
    </row>
    <row r="7" customFormat="false" ht="12.8" hidden="false" customHeight="false" outlineLevel="0" collapsed="false">
      <c r="A7" s="0" t="s">
        <v>319</v>
      </c>
      <c r="B7" s="0" t="s">
        <v>320</v>
      </c>
      <c r="C7" s="0" t="s">
        <v>90</v>
      </c>
      <c r="D7" s="0" t="s">
        <v>321</v>
      </c>
    </row>
    <row r="8" customFormat="false" ht="12.8" hidden="false" customHeight="false" outlineLevel="0" collapsed="false">
      <c r="A8" s="0" t="s">
        <v>322</v>
      </c>
      <c r="B8" s="0" t="s">
        <v>323</v>
      </c>
      <c r="C8" s="0" t="s">
        <v>59</v>
      </c>
      <c r="D8" s="0" t="s">
        <v>324</v>
      </c>
    </row>
    <row r="9" customFormat="false" ht="12.8" hidden="false" customHeight="false" outlineLevel="0" collapsed="false">
      <c r="A9" s="0" t="s">
        <v>325</v>
      </c>
      <c r="B9" s="0" t="s">
        <v>326</v>
      </c>
      <c r="C9" s="0" t="s">
        <v>132</v>
      </c>
      <c r="D9" s="0" t="s">
        <v>327</v>
      </c>
    </row>
    <row r="10" customFormat="false" ht="12.8" hidden="false" customHeight="false" outlineLevel="0" collapsed="false">
      <c r="A10" s="0" t="s">
        <v>328</v>
      </c>
      <c r="B10" s="0" t="s">
        <v>326</v>
      </c>
      <c r="C10" s="0" t="s">
        <v>269</v>
      </c>
      <c r="D10" s="0" t="s">
        <v>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4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55"/>
  </cols>
  <sheetData>
    <row r="1" customFormat="false" ht="12.8" hidden="false" customHeight="false" outlineLevel="0" collapsed="false">
      <c r="A1" s="1" t="s">
        <v>330</v>
      </c>
      <c r="B1" s="1" t="s">
        <v>298</v>
      </c>
      <c r="C1" s="1" t="s">
        <v>331</v>
      </c>
      <c r="D1" s="1" t="s">
        <v>39</v>
      </c>
    </row>
    <row r="2" customFormat="false" ht="12.8" hidden="false" customHeight="false" outlineLevel="0" collapsed="false">
      <c r="A2" s="0" t="s">
        <v>332</v>
      </c>
      <c r="B2" s="4" t="n">
        <f aca="false">COUNTA(StickS3!A2:A200)</f>
        <v>20</v>
      </c>
      <c r="C2" s="4" t="n">
        <f aca="false">COUNTA('M5StickC-Plus'!A2:A200)</f>
        <v>18</v>
      </c>
      <c r="D2" s="3" t="s">
        <v>333</v>
      </c>
    </row>
    <row r="3" customFormat="false" ht="12.8" hidden="false" customHeight="false" outlineLevel="0" collapsed="false">
      <c r="A3" s="0" t="s">
        <v>334</v>
      </c>
      <c r="B3" s="4" t="n">
        <f aca="false">SUM(StickS3!N2:N200)</f>
        <v>95.564225</v>
      </c>
      <c r="C3" s="4" t="n">
        <f aca="false">SUM('M5StickC-Plus'!N2:N200)</f>
        <v>81.3009</v>
      </c>
      <c r="D3" s="3" t="s">
        <v>335</v>
      </c>
    </row>
    <row r="4" customFormat="false" ht="12.8" hidden="false" customHeight="false" outlineLevel="0" collapsed="false">
      <c r="A4" s="0" t="s">
        <v>336</v>
      </c>
      <c r="B4" s="4" t="n">
        <f aca="false">B3*Assumptions!$B$5</f>
        <v>2.86692675</v>
      </c>
      <c r="C4" s="4" t="n">
        <f aca="false">C3*Assumptions!$B$5</f>
        <v>2.439027</v>
      </c>
      <c r="D4" s="3" t="s">
        <v>337</v>
      </c>
    </row>
    <row r="5" customFormat="false" ht="12.8" hidden="false" customHeight="false" outlineLevel="0" collapsed="false">
      <c r="A5" s="0" t="s">
        <v>338</v>
      </c>
      <c r="B5" s="4" t="n">
        <f aca="false">B3+B4</f>
        <v>98.43115175</v>
      </c>
      <c r="C5" s="4" t="n">
        <f aca="false">C3+C4</f>
        <v>83.739927</v>
      </c>
      <c r="D5" s="3" t="s">
        <v>339</v>
      </c>
    </row>
    <row r="6" customFormat="false" ht="12.8" hidden="false" customHeight="false" outlineLevel="0" collapsed="false">
      <c r="A6" s="0" t="s">
        <v>340</v>
      </c>
      <c r="B6" s="4" t="n">
        <f aca="false">B5*Assumptions!$B$3</f>
        <v>984311.5175</v>
      </c>
      <c r="C6" s="4" t="n">
        <f aca="false">C5*Assumptions!$B$3</f>
        <v>837399.27</v>
      </c>
      <c r="D6" s="3" t="s">
        <v>341</v>
      </c>
    </row>
    <row r="7" customFormat="false" ht="12.8" hidden="false" customHeight="false" outlineLevel="0" collapsed="false">
      <c r="A7" s="0" t="s">
        <v>342</v>
      </c>
      <c r="B7" s="4" t="n">
        <f aca="false">SUMIF(StickS3!Q2:Q200,"high",StickS3!N2:N200)</f>
        <v>14.940075</v>
      </c>
      <c r="C7" s="4" t="n">
        <f aca="false">SUMIF('M5StickC-Plus'!Q2:Q200,"high",'M5StickC-Plus'!N2:N200)</f>
        <v>21.830475</v>
      </c>
      <c r="D7" s="3" t="s">
        <v>343</v>
      </c>
    </row>
    <row r="8" customFormat="false" ht="12.8" hidden="false" customHeight="false" outlineLevel="0" collapsed="false">
      <c r="A8" s="0" t="s">
        <v>344</v>
      </c>
      <c r="B8" s="4" t="n">
        <f aca="false">B3-B7</f>
        <v>80.62415</v>
      </c>
      <c r="C8" s="4" t="n">
        <f aca="false">C3-C7</f>
        <v>59.470425</v>
      </c>
      <c r="D8" s="3" t="s">
        <v>345</v>
      </c>
    </row>
    <row r="9" customFormat="false" ht="12.8" hidden="false" customHeight="false" outlineLevel="0" collapsed="false">
      <c r="A9" s="0" t="s">
        <v>346</v>
      </c>
      <c r="B9" s="4" t="n">
        <f aca="false">IFERROR(B8/B3,0)</f>
        <v>0.843664561712294</v>
      </c>
      <c r="C9" s="4" t="n">
        <f aca="false">IFERROR(C8/C3,0)</f>
        <v>0.731485444810574</v>
      </c>
      <c r="D9" s="3" t="s">
        <v>347</v>
      </c>
    </row>
    <row r="10" customFormat="false" ht="12.8" hidden="false" customHeight="false" outlineLevel="0" collapsed="false">
      <c r="A10" s="0" t="s">
        <v>348</v>
      </c>
      <c r="B10" s="4" t="n">
        <f aca="false">COUNTIF(StickS3!R2:R200,"*RFQ*")+COUNTIF(StickS3!Q2:Q200,"low")</f>
        <v>20</v>
      </c>
      <c r="C10" s="4" t="n">
        <f aca="false">COUNTIF('M5StickC-Plus'!R2:R200,"*RFQ*")+COUNTIF('M5StickC-Plus'!Q2:Q200,"low")</f>
        <v>19</v>
      </c>
      <c r="D10" s="3" t="s">
        <v>349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2026-07-05T00:00:00Z</dcterms:created>
  <dc:creator>Codex</dc:creator>
  <dc:description/>
  <dc:language>en-US</dc:language>
  <cp:lastModifiedBy>Codex</cp:lastModifiedBy>
  <dcterms:modified xsi:type="dcterms:W3CDTF">2026-07-05T00:00:00Z</dcterms:modified>
  <cp:revision>0</cp:revision>
  <dc:subject/>
  <dc:title>VibeStick Hardware BOM Costing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